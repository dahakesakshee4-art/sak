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Overview" sheetId="1" state="visible" r:id="rId3"/>
    <sheet name="Captions" sheetId="2" state="visible" r:id="rId4"/>
    <sheet name="CTA bank" sheetId="3" state="visible" r:id="rId5"/>
    <sheet name="Hooks" sheetId="4" state="visible" r:id="rId6"/>
    <sheet name="Voice guide" sheetId="5" state="visible" r:id="rId7"/>
  </sheets>
  <definedNames>
    <definedName function="false" hidden="true" localSheetId="1" name="_xlnm._FilterDatabase" vbProcedure="false">Captions!$A$4:$L$34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<sst xmlns="http://schemas.openxmlformats.org/spreadsheetml/2006/main" count="419" uniqueCount="258">
  <si>
    <t xml:space="preserve">NOIR  |  Caption bank</t>
  </si>
  <si>
    <t xml:space="preserve">Concept café brand. 30 Instagram captions grouped by tone and call to action.</t>
  </si>
  <si>
    <t xml:space="preserve">How to use</t>
  </si>
  <si>
    <t xml:space="preserve">1. Filter the Captions sheet by Tone, CTA type or Format.</t>
  </si>
  <si>
    <t xml:space="preserve">2. Copy the finished caption from the 'Full caption' column.</t>
  </si>
  <si>
    <t xml:space="preserve">3. Edit only the white columns. Grey columns are formulas and update on their own.</t>
  </si>
  <si>
    <t xml:space="preserve">4. Keep the whole caption under 2,200 characters (Instagram's limit).</t>
  </si>
  <si>
    <t xml:space="preserve">Content mix</t>
  </si>
  <si>
    <t xml:space="preserve">Tone</t>
  </si>
  <si>
    <t xml:space="preserve">Captions</t>
  </si>
  <si>
    <t xml:space="preserve">CTA type</t>
  </si>
  <si>
    <t xml:space="preserve">Moody</t>
  </si>
  <si>
    <t xml:space="preserve">Save</t>
  </si>
  <si>
    <t xml:space="preserve">Warm</t>
  </si>
  <si>
    <t xml:space="preserve">Share</t>
  </si>
  <si>
    <t xml:space="preserve">Playful</t>
  </si>
  <si>
    <t xml:space="preserve">Comment</t>
  </si>
  <si>
    <t xml:space="preserve">Craft</t>
  </si>
  <si>
    <t xml:space="preserve">Tag</t>
  </si>
  <si>
    <t xml:space="preserve">Community</t>
  </si>
  <si>
    <t xml:space="preserve">Visit / Reserve</t>
  </si>
  <si>
    <t xml:space="preserve">Total</t>
  </si>
  <si>
    <t xml:space="preserve">DM</t>
  </si>
  <si>
    <t xml:space="preserve">Follow</t>
  </si>
  <si>
    <t xml:space="preserve">Vote</t>
  </si>
  <si>
    <t xml:space="preserve">Format</t>
  </si>
  <si>
    <t xml:space="preserve">Status</t>
  </si>
  <si>
    <t xml:space="preserve">Reel</t>
  </si>
  <si>
    <t xml:space="preserve">Ready</t>
  </si>
  <si>
    <t xml:space="preserve">Carousel</t>
  </si>
  <si>
    <t xml:space="preserve">Draft</t>
  </si>
  <si>
    <t xml:space="preserve">Static</t>
  </si>
  <si>
    <t xml:space="preserve">Needs visual</t>
  </si>
  <si>
    <t xml:space="preserve">Story</t>
  </si>
  <si>
    <t xml:space="preserve">Brand voice: unhurried, moody, precise, warm. Full rules on the Voice guide sheet.</t>
  </si>
  <si>
    <t xml:space="preserve">Edit the white columns. Grey columns (Full caption, Characters) are formulas.</t>
  </si>
  <si>
    <t xml:space="preserve">#</t>
  </si>
  <si>
    <t xml:space="preserve">Post idea</t>
  </si>
  <si>
    <t xml:space="preserve">Hook (first line)</t>
  </si>
  <si>
    <t xml:space="preserve">Caption body</t>
  </si>
  <si>
    <t xml:space="preserve">CTA line</t>
  </si>
  <si>
    <t xml:space="preserve">Hashtags</t>
  </si>
  <si>
    <t xml:space="preserve">Full caption (copy-ready)</t>
  </si>
  <si>
    <t xml:space="preserve">Characters</t>
  </si>
  <si>
    <t xml:space="preserve">Late-night ambience, 7pm to close</t>
  </si>
  <si>
    <t xml:space="preserve">The city gets quieter. We don't close.</t>
  </si>
  <si>
    <t xml:space="preserve">Soft lights, slow pours and a corner that's yours until 1am.</t>
  </si>
  <si>
    <t xml:space="preserve">Save this for the next night you need somewhere to go.</t>
  </si>
  <si>
    <t xml:space="preserve">#NOIRafterdark #latenightcoffee #coffeebar</t>
  </si>
  <si>
    <t xml:space="preserve">Rain on the front window</t>
  </si>
  <si>
    <t xml:space="preserve">Rain on the glass, espresso in hand.</t>
  </si>
  <si>
    <t xml:space="preserve">Some evenings plan themselves. This is one of them.</t>
  </si>
  <si>
    <t xml:space="preserve">Tell us your rainy-night order.</t>
  </si>
  <si>
    <t xml:space="preserve">#NOIRafterdark #rainynights #cafeculture</t>
  </si>
  <si>
    <t xml:space="preserve">The café hour by hour, five frames</t>
  </si>
  <si>
    <t xml:space="preserve">7pm to 1am, in five frames.</t>
  </si>
  <si>
    <t xml:space="preserve">Swipe to watch NOIR change as the night does. The light drops, the music softens, the conversations get better.</t>
  </si>
  <si>
    <t xml:space="preserve">Which hour is yours? Tell us below.</t>
  </si>
  <si>
    <t xml:space="preserve">#NOIRafterdark #coffeebar #nightowls</t>
  </si>
  <si>
    <t xml:space="preserve">Slow pour close-up, no music</t>
  </si>
  <si>
    <t xml:space="preserve">Nothing here is rushed. Especially this.</t>
  </si>
  <si>
    <t xml:space="preserve">Four slow minutes for one cup, and it tastes like it.</t>
  </si>
  <si>
    <t xml:space="preserve">Send this to the friend who needs to slow down.</t>
  </si>
  <si>
    <t xml:space="preserve">#slowcoffee #pourover #NOIRafterdark</t>
  </si>
  <si>
    <t xml:space="preserve">'Open till 1am' graphic</t>
  </si>
  <si>
    <t xml:space="preserve">For the ones whose day starts late.</t>
  </si>
  <si>
    <t xml:space="preserve">Open till 1am, every night. Come as you are, stay as long as you like.</t>
  </si>
  <si>
    <t xml:space="preserve">See you after dark.</t>
  </si>
  <si>
    <t xml:space="preserve">#NOIRafterdark #latenightcoffee #nightowls</t>
  </si>
  <si>
    <t xml:space="preserve">Empty corner seat, one lamp on</t>
  </si>
  <si>
    <t xml:space="preserve">A quiet corner, saved for someone.</t>
  </si>
  <si>
    <t xml:space="preserve">Could be you. Could be tonight.</t>
  </si>
  <si>
    <t xml:space="preserve">Reserve a corner through the link in bio.</t>
  </si>
  <si>
    <t xml:space="preserve">#NOIRafterdark #thirdplace #coffeebar</t>
  </si>
  <si>
    <t xml:space="preserve">First-timer's guide</t>
  </si>
  <si>
    <t xml:space="preserve">First time at NOIR? Here's how to do it right.</t>
  </si>
  <si>
    <t xml:space="preserve">1. Order something slow.
2. Pick a corner.
3. Put your phone down for ten minutes.
4. Stay longer than you planned.</t>
  </si>
  <si>
    <t xml:space="preserve">Save this for your first visit.</t>
  </si>
  <si>
    <t xml:space="preserve">#NOIRafterdark #cafeculture #coffeebar</t>
  </si>
  <si>
    <t xml:space="preserve">Barista greeting a regular by their order</t>
  </si>
  <si>
    <t xml:space="preserve">They know your order before you sit down.</t>
  </si>
  <si>
    <t xml:space="preserve">That's the goal with every person who walks in. Takes a few visits. Worth it.</t>
  </si>
  <si>
    <t xml:space="preserve">Tag your café person.</t>
  </si>
  <si>
    <t xml:space="preserve">#peopleofNOIR #cafeculture #baristalife</t>
  </si>
  <si>
    <t xml:space="preserve">Two cups on a small table</t>
  </si>
  <si>
    <t xml:space="preserve">Bring someone you actually want to talk to.</t>
  </si>
  <si>
    <t xml:space="preserve">Low music, no rush, and a table that fits exactly two.</t>
  </si>
  <si>
    <t xml:space="preserve">Send this to them. They'll get the hint.</t>
  </si>
  <si>
    <t xml:space="preserve">#NOIRafterdark #coffeedate #thirdplace</t>
  </si>
  <si>
    <t xml:space="preserve">Laptop session at 9pm</t>
  </si>
  <si>
    <t xml:space="preserve">Laptop open at 9pm? No one here will judge.</t>
  </si>
  <si>
    <t xml:space="preserve">The Wi-Fi's on, the lights are low and the refills keep coming.</t>
  </si>
  <si>
    <t xml:space="preserve">Come work late with us.</t>
  </si>
  <si>
    <t xml:space="preserve">#workfromcafe #nightowls #NOIRafterdark</t>
  </si>
  <si>
    <t xml:space="preserve">Last order sign on the bar</t>
  </si>
  <si>
    <t xml:space="preserve">Last order at 12:30. No one leaves in a hurry.</t>
  </si>
  <si>
    <t xml:space="preserve">We'd rather you finish the conversation than finish on time.</t>
  </si>
  <si>
    <t xml:space="preserve">Follow for what's on this week.</t>
  </si>
  <si>
    <t xml:space="preserve">This week's menu drop</t>
  </si>
  <si>
    <t xml:space="preserve">This week's menu drop is here.</t>
  </si>
  <si>
    <t xml:space="preserve">Three new drinks, one returning favourite. Swipe for all four.</t>
  </si>
  <si>
    <t xml:space="preserve">Save this so you remember what to order.</t>
  </si>
  <si>
    <t xml:space="preserve">#menudrop #NOIRafterdark #coffeebar</t>
  </si>
  <si>
    <t xml:space="preserve">Every regular at 11pm, ranked</t>
  </si>
  <si>
    <t xml:space="preserve">Every NOIR regular at 11pm, ranked.</t>
  </si>
  <si>
    <t xml:space="preserve">The one on their third cortado. The one 'just finishing an email'. The one who came for ten minutes two hours ago.</t>
  </si>
  <si>
    <t xml:space="preserve">Which one are you? Be honest.</t>
  </si>
  <si>
    <t xml:space="preserve">#peopleofNOIR #nightowls #cafeculture</t>
  </si>
  <si>
    <t xml:space="preserve">Bold text post</t>
  </si>
  <si>
    <t xml:space="preserve">Coffee after 9pm is a personality.</t>
  </si>
  <si>
    <t xml:space="preserve">We said what we said.</t>
  </si>
  <si>
    <t xml:space="preserve">Agree or disagree?</t>
  </si>
  <si>
    <t xml:space="preserve">#latenightcoffee #NOIRafterdark #coffeebar</t>
  </si>
  <si>
    <t xml:space="preserve">POV trend</t>
  </si>
  <si>
    <t xml:space="preserve">POV: you said 'one coffee' three hours ago.</t>
  </si>
  <si>
    <t xml:space="preserve">No regrets. Maybe one more.</t>
  </si>
  <si>
    <t xml:space="preserve">Send this to the friend who always says 'just one'.</t>
  </si>
  <si>
    <t xml:space="preserve">#nightowls #NOIRafterdark #cafeculture</t>
  </si>
  <si>
    <t xml:space="preserve">Poll sticker</t>
  </si>
  <si>
    <t xml:space="preserve">Espresso or cold brew at midnight?</t>
  </si>
  <si>
    <t xml:space="preserve">Settle it for us. The loudest side gets a special next week.</t>
  </si>
  <si>
    <t xml:space="preserve">Vote in the poll.</t>
  </si>
  <si>
    <t xml:space="preserve">#NOIRafterdark</t>
  </si>
  <si>
    <t xml:space="preserve">Sleep is great. Have you tried a cortado?</t>
  </si>
  <si>
    <t xml:space="preserve">Kidding. We do a very good decaf too.</t>
  </si>
  <si>
    <t xml:space="preserve">Your go-to late-night order?</t>
  </si>
  <si>
    <t xml:space="preserve">Order by your mood</t>
  </si>
  <si>
    <t xml:space="preserve">Tired, dramatic or pretending to be productive?</t>
  </si>
  <si>
    <t xml:space="preserve">There's a drink for each. Swipe to find yours.</t>
  </si>
  <si>
    <t xml:space="preserve">Save this for tonight's order.</t>
  </si>
  <si>
    <t xml:space="preserve">#NOIRafterdark #coffeebar #menudrop</t>
  </si>
  <si>
    <t xml:space="preserve">Pour-over process start to finish</t>
  </si>
  <si>
    <t xml:space="preserve">Four minutes for one cup. Here's why.</t>
  </si>
  <si>
    <t xml:space="preserve">The bloom lets the coffee release gas so the water can pull out the flavour evenly. Rush it and the cup tastes flat.</t>
  </si>
  <si>
    <t xml:space="preserve">Save this for your next home brew.</t>
  </si>
  <si>
    <t xml:space="preserve">#pourover #slowcoffee #baristalife</t>
  </si>
  <si>
    <t xml:space="preserve">Meet this month's beans</t>
  </si>
  <si>
    <t xml:space="preserve">Meet this month's beans.</t>
  </si>
  <si>
    <t xml:space="preserve">A medium roast with notes of cocoa and orange. Swipe for how we brew it and what to pair it with.</t>
  </si>
  <si>
    <t xml:space="preserve">Ask us about them at the bar, or drop a question here.</t>
  </si>
  <si>
    <t xml:space="preserve">#specialtycoffee #slowcoffee #NOIRafterdark</t>
  </si>
  <si>
    <t xml:space="preserve">Latte art attempt 1 vs 14</t>
  </si>
  <si>
    <t xml:space="preserve">Attempt 1 vs attempt 14.</t>
  </si>
  <si>
    <t xml:space="preserve">Practice looks like this. A lot of milk, a lot of patience.</t>
  </si>
  <si>
    <t xml:space="preserve">Send this to someone learning something new.</t>
  </si>
  <si>
    <t xml:space="preserve">#latteart #baristalife #behindthebar</t>
  </si>
  <si>
    <t xml:space="preserve">Milk texture close-up</t>
  </si>
  <si>
    <t xml:space="preserve">Steamed, not scalded. There's a difference.</t>
  </si>
  <si>
    <t xml:space="preserve">Silky milk sits around 60°C. Any hotter and the sweetness disappears.</t>
  </si>
  <si>
    <t xml:space="preserve">Follow for more from behind the bar.</t>
  </si>
  <si>
    <t xml:space="preserve">#behindthebar #baristalife #coffeebar</t>
  </si>
  <si>
    <t xml:space="preserve">Decaf done properly</t>
  </si>
  <si>
    <t xml:space="preserve">Decaf after 10pm, done properly.</t>
  </si>
  <si>
    <t xml:space="preserve">Same care, same brew time, none of the 3am ceiling staring. Swipe for our decaf menu.</t>
  </si>
  <si>
    <t xml:space="preserve">Save this for late nights.</t>
  </si>
  <si>
    <t xml:space="preserve">#decaf #slowcoffee #NOIRafterdark</t>
  </si>
  <si>
    <t xml:space="preserve">Closing routine after the last cup</t>
  </si>
  <si>
    <t xml:space="preserve">What happens after the last cup.</t>
  </si>
  <si>
    <t xml:space="preserve">Machines cleaned, grinders reset, chairs up. Tomorrow's first pour starts tonight.</t>
  </si>
  <si>
    <t xml:space="preserve">Follow to see the rest of the night.</t>
  </si>
  <si>
    <t xml:space="preserve">#behindthebar #baristalife #NOIRafterdark</t>
  </si>
  <si>
    <t xml:space="preserve">Friday listening sessions announcement</t>
  </si>
  <si>
    <t xml:space="preserve">Friday listening sessions are back.</t>
  </si>
  <si>
    <t xml:space="preserve">One album, played start to finish. Low lights, good coffee, no talking over the good parts.</t>
  </si>
  <si>
    <t xml:space="preserve">Seats are limited. DM us to save one.</t>
  </si>
  <si>
    <t xml:space="preserve">#listeningsession #NOIRafterdark #vinylnight</t>
  </si>
  <si>
    <t xml:space="preserve">People of NOIR</t>
  </si>
  <si>
    <t xml:space="preserve">People of NOIR.</t>
  </si>
  <si>
    <t xml:space="preserve">The regulars who turned a coffee bar into a place. Swipe to meet a few of them.</t>
  </si>
  <si>
    <t xml:space="preserve">Tag someone you've met here.</t>
  </si>
  <si>
    <t xml:space="preserve">#peopleofNOIR #thirdplace #cafeculture</t>
  </si>
  <si>
    <t xml:space="preserve">Guests pick the album</t>
  </si>
  <si>
    <t xml:space="preserve">You pick the album. We press play.</t>
  </si>
  <si>
    <t xml:space="preserve">Next Friday's listening session is chosen by you.</t>
  </si>
  <si>
    <t xml:space="preserve">Drop the album you'd want us to play.</t>
  </si>
  <si>
    <t xml:space="preserve">Customer photo repost</t>
  </si>
  <si>
    <t xml:space="preserve">Your corner, your photo.</t>
  </si>
  <si>
    <t xml:space="preserve">Shared by one of our regulars, reposted with love.</t>
  </si>
  <si>
    <t xml:space="preserve">Tag us in yours for a chance to be featured.</t>
  </si>
  <si>
    <t xml:space="preserve">#peopleofNOIR #NOIRafterdark #cafeculture</t>
  </si>
  <si>
    <t xml:space="preserve">Question sticker</t>
  </si>
  <si>
    <t xml:space="preserve">What should we add to the menu?</t>
  </si>
  <si>
    <t xml:space="preserve">We read every reply. The best idea gets brewed.</t>
  </si>
  <si>
    <t xml:space="preserve">Send us your idea.</t>
  </si>
  <si>
    <t xml:space="preserve">One-month recap</t>
  </si>
  <si>
    <t xml:space="preserve">One month of late nights.</t>
  </si>
  <si>
    <t xml:space="preserve">Thank you for staying up with us. Here's to the next one.</t>
  </si>
  <si>
    <t xml:space="preserve">Follow along for month two.</t>
  </si>
  <si>
    <t xml:space="preserve">CTA bank</t>
  </si>
  <si>
    <t xml:space="preserve">Pick the CTA by the goal of the post. One CTA per caption, always on the last line.</t>
  </si>
  <si>
    <t xml:space="preserve">Goal</t>
  </si>
  <si>
    <t xml:space="preserve">Why it matters</t>
  </si>
  <si>
    <t xml:space="preserve">Example lines</t>
  </si>
  <si>
    <t xml:space="preserve">Reach</t>
  </si>
  <si>
    <t xml:space="preserve">Saves tell the algorithm a post is worth coming back to.</t>
  </si>
  <si>
    <t xml:space="preserve">Save this for your next visit.
Save this so you remember what to order.
Save this for your next home brew.</t>
  </si>
  <si>
    <t xml:space="preserve">Shares put the post in front of people who don't follow yet.</t>
  </si>
  <si>
    <t xml:space="preserve">Send this to the friend who needs to slow down.
Send this to someone who'd love this place.
Share this with your late-night crew.</t>
  </si>
  <si>
    <t xml:space="preserve">Engagement</t>
  </si>
  <si>
    <t xml:space="preserve">Comments start conversations and show what the audience cares about.</t>
  </si>
  <si>
    <t xml:space="preserve">Tell us your rainy-night order.
Which one are you? Be honest.
Agree or disagree?</t>
  </si>
  <si>
    <t xml:space="preserve">Tags bring in friends of existing fans.</t>
  </si>
  <si>
    <t xml:space="preserve">Tag your café person.
Tag someone you've met here.
Tag the friend you'd bring on a Friday.</t>
  </si>
  <si>
    <t xml:space="preserve">Footfall</t>
  </si>
  <si>
    <t xml:space="preserve">Turns attention into people walking through the door.</t>
  </si>
  <si>
    <t xml:space="preserve">Reserve a corner through the link in bio.
See you after dark.
Come work late with us.</t>
  </si>
  <si>
    <t xml:space="preserve">Leads</t>
  </si>
  <si>
    <t xml:space="preserve">Private messages are warmer leads for events and bookings.</t>
  </si>
  <si>
    <t xml:space="preserve">DM us to save a seat.
Send us your idea.
Message us for group bookings.</t>
  </si>
  <si>
    <t xml:space="preserve">Growth</t>
  </si>
  <si>
    <t xml:space="preserve">Gives new viewers a reason to stay for the next post.</t>
  </si>
  <si>
    <t xml:space="preserve">Follow for what's on this week.
Follow for more from behind the bar.
Follow along for month two.</t>
  </si>
  <si>
    <t xml:space="preserve">Polls are quick taps that lift Story engagement.</t>
  </si>
  <si>
    <t xml:space="preserve">Vote in the poll.
Settle it for us.
Pick one. No fence-sitting.</t>
  </si>
  <si>
    <t xml:space="preserve">Hook formulas</t>
  </si>
  <si>
    <t xml:space="preserve">The first line decides whether anyone reads the rest. Keep hooks short enough to show before '...more'.</t>
  </si>
  <si>
    <t xml:space="preserve">Formula</t>
  </si>
  <si>
    <t xml:space="preserve">How it works</t>
  </si>
  <si>
    <t xml:space="preserve">Example from this bank</t>
  </si>
  <si>
    <t xml:space="preserve">Mood line</t>
  </si>
  <si>
    <t xml:space="preserve">Set the scene in one sensory sentence.</t>
  </si>
  <si>
    <t xml:space="preserve">Time stamp</t>
  </si>
  <si>
    <t xml:space="preserve">Anchor the post to a specific moment.</t>
  </si>
  <si>
    <t xml:space="preserve">Direct address</t>
  </si>
  <si>
    <t xml:space="preserve">Speak to one specific person.</t>
  </si>
  <si>
    <t xml:space="preserve">POV</t>
  </si>
  <si>
    <t xml:space="preserve">Put the viewer inside a relatable moment.</t>
  </si>
  <si>
    <t xml:space="preserve">Ranking / list</t>
  </si>
  <si>
    <t xml:space="preserve">Promise a quick, scannable payoff.</t>
  </si>
  <si>
    <t xml:space="preserve">Before vs after</t>
  </si>
  <si>
    <t xml:space="preserve">Show progress or contrast.</t>
  </si>
  <si>
    <t xml:space="preserve">Hot take</t>
  </si>
  <si>
    <t xml:space="preserve">A mild opinion people want to react to.</t>
  </si>
  <si>
    <t xml:space="preserve">Curiosity gap</t>
  </si>
  <si>
    <t xml:space="preserve">Raise a question the caption answers.</t>
  </si>
  <si>
    <t xml:space="preserve">Myth buster</t>
  </si>
  <si>
    <t xml:space="preserve">Correct something people get wrong.</t>
  </si>
  <si>
    <t xml:space="preserve">Voice guide</t>
  </si>
  <si>
    <t xml:space="preserve">Voice</t>
  </si>
  <si>
    <t xml:space="preserve">Sounds like</t>
  </si>
  <si>
    <t xml:space="preserve">Doesn't sound like</t>
  </si>
  <si>
    <t xml:space="preserve">Unhurried</t>
  </si>
  <si>
    <t xml:space="preserve">Stay as long as you like.</t>
  </si>
  <si>
    <t xml:space="preserve">Grab your coffee and go!</t>
  </si>
  <si>
    <t xml:space="preserve">Soft lights, slow pours.</t>
  </si>
  <si>
    <t xml:space="preserve">The BEST vibes in town!!!</t>
  </si>
  <si>
    <t xml:space="preserve">Precise</t>
  </si>
  <si>
    <t xml:space="preserve">Silky milk sits around 60°C.</t>
  </si>
  <si>
    <t xml:space="preserve">Our coffee is simply amazing.</t>
  </si>
  <si>
    <t xml:space="preserve">Valued customers, visit us today.</t>
  </si>
  <si>
    <t xml:space="preserve">Writing rules</t>
  </si>
  <si>
    <t xml:space="preserve">•  Hook on the first line, under 10 words where possible.</t>
  </si>
  <si>
    <t xml:space="preserve">•  Sentence case. No all-caps shouting, no strings of exclamation marks.</t>
  </si>
  <si>
    <t xml:space="preserve">•  Short lines with a blank line between hook, body and CTA.</t>
  </si>
  <si>
    <t xml:space="preserve">•  One CTA per caption, always last.</t>
  </si>
  <si>
    <t xml:space="preserve">•  Emojis: none or one. The visuals carry the mood.</t>
  </si>
  <si>
    <t xml:space="preserve">•  3 to 5 hashtags: one branded (#NOIRafterdark) plus topic tags.</t>
  </si>
  <si>
    <t xml:space="preserve">•  Never invent offers, prices or events that aren't confirmed.</t>
  </si>
</sst>
</file>

<file path=xl/styles.xml><?xml version="1.0" encoding="utf-8"?>
<styleSheet xmlns="http://schemas.openxmlformats.org/spreadsheetml/2006/main">
  <numFmts count="2">
    <numFmt numFmtId="164" formatCode="General"/>
    <numFmt numFmtId="165" formatCode="General"/>
  </numFmts>
  <fonts count="17">
    <font>
      <sz val="11"/>
      <color theme="1"/>
      <name val="Calibri"/>
      <family val="2"/>
      <charset val="1"/>
    </font>
    <font>
      <sz val="10"/>
      <name val="Arial"/>
      <family val="0"/>
    </font>
    <font>
      <sz val="10"/>
      <name val="Arial"/>
      <family val="0"/>
    </font>
    <font>
      <sz val="10"/>
      <name val="Arial"/>
      <family val="0"/>
    </font>
    <font>
      <b val="true"/>
      <sz val="20"/>
      <color rgb="FF1E2A4B"/>
      <name val="Arial"/>
      <family val="0"/>
      <charset val="1"/>
    </font>
    <font>
      <sz val="11"/>
      <color rgb="FF566079"/>
      <name val="Arial"/>
      <family val="0"/>
      <charset val="1"/>
    </font>
    <font>
      <b val="true"/>
      <sz val="12"/>
      <color rgb="FF7C1D22"/>
      <name val="Arial"/>
      <family val="0"/>
      <charset val="1"/>
    </font>
    <font>
      <sz val="10"/>
      <color rgb="FF1E2A4B"/>
      <name val="Arial"/>
      <family val="0"/>
      <charset val="1"/>
    </font>
    <font>
      <b val="true"/>
      <sz val="11"/>
      <color rgb="FFFFFFFF"/>
      <name val="Arial"/>
      <family val="0"/>
      <charset val="1"/>
    </font>
    <font>
      <sz val="11"/>
      <color rgb="FF1E2A4B"/>
      <name val="Arial"/>
      <family val="0"/>
      <charset val="1"/>
    </font>
    <font>
      <sz val="11"/>
      <color rgb="FF000000"/>
      <name val="Arial"/>
      <family val="0"/>
      <charset val="1"/>
    </font>
    <font>
      <b val="true"/>
      <sz val="11"/>
      <color rgb="FF1E2A4B"/>
      <name val="Arial"/>
      <family val="0"/>
      <charset val="1"/>
    </font>
    <font>
      <b val="true"/>
      <sz val="11"/>
      <name val="Arial"/>
      <family val="0"/>
      <charset val="1"/>
    </font>
    <font>
      <i val="true"/>
      <sz val="10"/>
      <color rgb="FF566079"/>
      <name val="Arial"/>
      <family val="0"/>
      <charset val="1"/>
    </font>
    <font>
      <b val="true"/>
      <sz val="16"/>
      <color rgb="FF1E2A4B"/>
      <name val="Arial"/>
      <family val="0"/>
      <charset val="1"/>
    </font>
    <font>
      <sz val="10"/>
      <color rgb="FF000000"/>
      <name val="Arial"/>
      <family val="0"/>
      <charset val="1"/>
    </font>
    <font>
      <b val="true"/>
      <sz val="10"/>
      <color rgb="FF1E2A4B"/>
      <name val="Arial"/>
      <family val="0"/>
      <charset val="1"/>
    </font>
  </fonts>
  <fills count="4">
    <fill>
      <patternFill patternType="none"/>
    </fill>
    <fill>
      <patternFill patternType="gray125"/>
    </fill>
    <fill>
      <patternFill patternType="solid">
        <fgColor rgb="FF1E2A4B"/>
        <bgColor rgb="FF003366"/>
      </patternFill>
    </fill>
    <fill>
      <patternFill patternType="solid">
        <fgColor rgb="FFF2F3F5"/>
        <bgColor rgb="FFE6EEE8"/>
      </patternFill>
    </fill>
  </fills>
  <borders count="2">
    <border diagonalUp="false" diagonalDown="false">
      <left/>
      <right/>
      <top/>
      <bottom/>
      <diagonal/>
    </border>
    <border diagonalUp="false" diagonalDown="false">
      <left style="thin">
        <color rgb="FFC9D0DC"/>
      </left>
      <right style="thin">
        <color rgb="FFC9D0DC"/>
      </right>
      <top style="thin">
        <color rgb="FFC9D0DC"/>
      </top>
      <bottom style="thin">
        <color rgb="FFC9D0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15" fillId="0" borderId="1" xfId="0" applyFont="true" applyBorder="true" applyAlignment="true" applyProtection="false">
      <alignment horizontal="center" vertical="top"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5" fillId="3" borderId="1" xfId="0" applyFont="true" applyBorder="true" applyAlignment="true" applyProtection="false">
      <alignment horizontal="general" vertical="top" textRotation="0" wrapText="true" indent="0" shrinkToFit="false"/>
      <protection locked="true" hidden="false"/>
    </xf>
    <xf numFmtId="165" fontId="15" fillId="3" borderId="1" xfId="0" applyFont="true" applyBorder="true" applyAlignment="true" applyProtection="false">
      <alignment horizontal="center" vertical="top"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1E2A4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3E6EE"/>
          <bgColor rgb="FF000000"/>
        </patternFill>
      </fill>
    </dxf>
    <dxf>
      <fill>
        <patternFill patternType="solid">
          <fgColor rgb="FFE6EEE8"/>
          <bgColor rgb="FF000000"/>
        </patternFill>
      </fill>
    </dxf>
    <dxf>
      <fill>
        <patternFill patternType="solid">
          <fgColor rgb="FFEDE4F0"/>
          <bgColor rgb="FF000000"/>
        </patternFill>
      </fill>
    </dxf>
    <dxf>
      <fill>
        <patternFill patternType="solid">
          <fgColor rgb="FFF4E6E1"/>
          <bgColor rgb="FF000000"/>
        </patternFill>
      </fill>
    </dxf>
    <dxf>
      <fill>
        <patternFill patternType="solid">
          <fgColor rgb="FFFBF0D9"/>
          <bgColor rgb="FF000000"/>
        </patternFill>
      </fill>
    </dxf>
    <dxf>
      <fill>
        <patternFill patternType="solid">
          <fgColor rgb="FFF2F3F5"/>
          <bgColor rgb="FF000000"/>
        </patternFill>
      </fill>
    </dxf>
    <dxf>
      <fill>
        <patternFill patternType="solid">
          <fgColor rgb="FF2E6B3F"/>
          <bgColor rgb="FF000000"/>
        </patternFill>
      </fill>
    </dxf>
    <dxf>
      <fill>
        <patternFill patternType="solid">
          <fgColor rgb="FF7C1D22"/>
          <bgColor rgb="FF000000"/>
        </patternFill>
      </fill>
    </dxf>
    <dxf>
      <fill>
        <patternFill>
          <bgColor rgb="FFE3E6EE"/>
        </patternFill>
      </fill>
    </dxf>
    <dxf>
      <fill>
        <patternFill>
          <bgColor rgb="FFF4E6E1"/>
        </patternFill>
      </fill>
    </dxf>
    <dxf>
      <fill>
        <patternFill>
          <bgColor rgb="FFFBF0D9"/>
        </patternFill>
      </fill>
    </dxf>
    <dxf>
      <fill>
        <patternFill>
          <bgColor rgb="FFE6EEE8"/>
        </patternFill>
      </fill>
    </dxf>
    <dxf>
      <fill>
        <patternFill>
          <bgColor rgb="FFEDE4F0"/>
        </patternFill>
      </fill>
    </dxf>
    <dxf>
      <font>
        <name val="Arial"/>
        <charset val="1"/>
        <family val="0"/>
        <b val="1"/>
        <color rgb="FF2E6B3F"/>
      </font>
    </dxf>
    <dxf>
      <font>
        <name val="Arial"/>
        <charset val="1"/>
        <family val="0"/>
        <b val="1"/>
        <color rgb="FF7C1D22"/>
      </font>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7C1D22"/>
      <rgbColor rgb="FF2E6B3F"/>
      <rgbColor rgb="FF000080"/>
      <rgbColor rgb="FF808000"/>
      <rgbColor rgb="FF800080"/>
      <rgbColor rgb="FF008080"/>
      <rgbColor rgb="FFC0C0C0"/>
      <rgbColor rgb="FF808080"/>
      <rgbColor rgb="FF9999FF"/>
      <rgbColor rgb="FF993366"/>
      <rgbColor rgb="FFFBF0D9"/>
      <rgbColor rgb="FFE6EEE8"/>
      <rgbColor rgb="FF660066"/>
      <rgbColor rgb="FFFF8080"/>
      <rgbColor rgb="FF0066CC"/>
      <rgbColor rgb="FFC9D0DC"/>
      <rgbColor rgb="FF000080"/>
      <rgbColor rgb="FFFF00FF"/>
      <rgbColor rgb="FFFFFF00"/>
      <rgbColor rgb="FF00FFFF"/>
      <rgbColor rgb="FF800080"/>
      <rgbColor rgb="FF800000"/>
      <rgbColor rgb="FF008080"/>
      <rgbColor rgb="FF0000FF"/>
      <rgbColor rgb="FF00CCFF"/>
      <rgbColor rgb="FFF2F3F5"/>
      <rgbColor rgb="FFE3E6EE"/>
      <rgbColor rgb="FFF4E6E1"/>
      <rgbColor rgb="FF99CCFF"/>
      <rgbColor rgb="FFFF99CC"/>
      <rgbColor rgb="FFCC99FF"/>
      <rgbColor rgb="FFEDE4F0"/>
      <rgbColor rgb="FF3366FF"/>
      <rgbColor rgb="FF33CCCC"/>
      <rgbColor rgb="FF99CC00"/>
      <rgbColor rgb="FFFFCC00"/>
      <rgbColor rgb="FFFF9900"/>
      <rgbColor rgb="FFFF6600"/>
      <rgbColor rgb="FF566079"/>
      <rgbColor rgb="FF969696"/>
      <rgbColor rgb="FF003366"/>
      <rgbColor rgb="FF339966"/>
      <rgbColor rgb="FF003300"/>
      <rgbColor rgb="FF333300"/>
      <rgbColor rgb="FF993300"/>
      <rgbColor rgb="FF993366"/>
      <rgbColor rgb="FF333399"/>
      <rgbColor rgb="FF1E2A4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4"/>
    <col collapsed="false" customWidth="true" hidden="false" outlineLevel="0" max="4" min="4" style="0" width="4"/>
    <col collapsed="false" customWidth="true" hidden="false" outlineLevel="0" max="5" min="5" style="0" width="22"/>
    <col collapsed="false" customWidth="true" hidden="false" outlineLevel="0" max="6" min="6" style="0" width="14"/>
  </cols>
  <sheetData>
    <row r="2" customFormat="false" ht="24.4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c r="C6" s="4"/>
      <c r="D6" s="4"/>
      <c r="E6" s="4"/>
      <c r="F6" s="4"/>
    </row>
    <row r="7" customFormat="false" ht="15" hidden="false" customHeight="false" outlineLevel="0" collapsed="false">
      <c r="B7" s="4" t="s">
        <v>4</v>
      </c>
      <c r="C7" s="4"/>
      <c r="D7" s="4"/>
      <c r="E7" s="4"/>
      <c r="F7" s="4"/>
    </row>
    <row r="8" customFormat="false" ht="15" hidden="false" customHeight="false" outlineLevel="0" collapsed="false">
      <c r="B8" s="4" t="s">
        <v>5</v>
      </c>
      <c r="C8" s="4"/>
      <c r="D8" s="4"/>
      <c r="E8" s="4"/>
      <c r="F8" s="4"/>
    </row>
    <row r="9" customFormat="false" ht="15" hidden="false" customHeight="false" outlineLevel="0" collapsed="false">
      <c r="B9" s="4" t="s">
        <v>6</v>
      </c>
      <c r="C9" s="4"/>
      <c r="D9" s="4"/>
      <c r="E9" s="4"/>
      <c r="F9" s="4"/>
    </row>
    <row r="11" customFormat="false" ht="15" hidden="false" customHeight="false" outlineLevel="0" collapsed="false">
      <c r="B11" s="3" t="s">
        <v>7</v>
      </c>
    </row>
    <row r="12" customFormat="false" ht="15" hidden="false" customHeight="false" outlineLevel="0" collapsed="false">
      <c r="B12" s="5" t="s">
        <v>8</v>
      </c>
      <c r="C12" s="6" t="s">
        <v>9</v>
      </c>
      <c r="E12" s="5" t="s">
        <v>10</v>
      </c>
      <c r="F12" s="6" t="s">
        <v>9</v>
      </c>
    </row>
    <row r="13" customFormat="false" ht="15" hidden="false" customHeight="false" outlineLevel="0" collapsed="false">
      <c r="B13" s="7" t="s">
        <v>11</v>
      </c>
      <c r="C13" s="8" t="n">
        <f aca="false">COUNTIF(Captions!$B$5:$B$200,"Moody")</f>
        <v>6</v>
      </c>
      <c r="E13" s="7" t="s">
        <v>12</v>
      </c>
      <c r="F13" s="8" t="n">
        <f aca="false">COUNTIF(Captions!$C$5:$C$200,"Save")</f>
        <v>6</v>
      </c>
    </row>
    <row r="14" customFormat="false" ht="15" hidden="false" customHeight="false" outlineLevel="0" collapsed="false">
      <c r="B14" s="7" t="s">
        <v>13</v>
      </c>
      <c r="C14" s="8" t="n">
        <f aca="false">COUNTIF(Captions!$B$5:$B$200,"Warm")</f>
        <v>6</v>
      </c>
      <c r="E14" s="7" t="s">
        <v>14</v>
      </c>
      <c r="F14" s="8" t="n">
        <f aca="false">COUNTIF(Captions!$C$5:$C$200,"Share")</f>
        <v>4</v>
      </c>
    </row>
    <row r="15" customFormat="false" ht="15" hidden="false" customHeight="false" outlineLevel="0" collapsed="false">
      <c r="B15" s="7" t="s">
        <v>15</v>
      </c>
      <c r="C15" s="8" t="n">
        <f aca="false">COUNTIF(Captions!$B$5:$B$200,"Playful")</f>
        <v>6</v>
      </c>
      <c r="E15" s="7" t="s">
        <v>16</v>
      </c>
      <c r="F15" s="8" t="n">
        <f aca="false">COUNTIF(Captions!$C$5:$C$200,"Comment")</f>
        <v>7</v>
      </c>
    </row>
    <row r="16" customFormat="false" ht="15" hidden="false" customHeight="false" outlineLevel="0" collapsed="false">
      <c r="B16" s="7" t="s">
        <v>17</v>
      </c>
      <c r="C16" s="8" t="n">
        <f aca="false">COUNTIF(Captions!$B$5:$B$200,"Craft")</f>
        <v>6</v>
      </c>
      <c r="E16" s="7" t="s">
        <v>18</v>
      </c>
      <c r="F16" s="8" t="n">
        <f aca="false">COUNTIF(Captions!$C$5:$C$200,"Tag")</f>
        <v>3</v>
      </c>
    </row>
    <row r="17" customFormat="false" ht="15" hidden="false" customHeight="false" outlineLevel="0" collapsed="false">
      <c r="B17" s="7" t="s">
        <v>19</v>
      </c>
      <c r="C17" s="8" t="n">
        <f aca="false">COUNTIF(Captions!$B$5:$B$200,"Community")</f>
        <v>6</v>
      </c>
      <c r="E17" s="7" t="s">
        <v>20</v>
      </c>
      <c r="F17" s="8" t="n">
        <f aca="false">COUNTIF(Captions!$C$5:$C$200,"Visit / Reserve")</f>
        <v>3</v>
      </c>
    </row>
    <row r="18" customFormat="false" ht="15" hidden="false" customHeight="false" outlineLevel="0" collapsed="false">
      <c r="B18" s="9" t="s">
        <v>21</v>
      </c>
      <c r="C18" s="10" t="n">
        <f aca="false">SUM(C13:C17)</f>
        <v>30</v>
      </c>
      <c r="E18" s="7" t="s">
        <v>22</v>
      </c>
      <c r="F18" s="8" t="n">
        <f aca="false">COUNTIF(Captions!$C$5:$C$200,"DM")</f>
        <v>2</v>
      </c>
    </row>
    <row r="19" customFormat="false" ht="15" hidden="false" customHeight="false" outlineLevel="0" collapsed="false">
      <c r="E19" s="7" t="s">
        <v>23</v>
      </c>
      <c r="F19" s="8" t="n">
        <f aca="false">COUNTIF(Captions!$C$5:$C$200,"Follow")</f>
        <v>4</v>
      </c>
    </row>
    <row r="20" customFormat="false" ht="15" hidden="false" customHeight="false" outlineLevel="0" collapsed="false">
      <c r="E20" s="7" t="s">
        <v>24</v>
      </c>
      <c r="F20" s="8" t="n">
        <f aca="false">COUNTIF(Captions!$C$5:$C$200,"Vote")</f>
        <v>1</v>
      </c>
    </row>
    <row r="21" customFormat="false" ht="15" hidden="false" customHeight="false" outlineLevel="0" collapsed="false">
      <c r="E21" s="9" t="s">
        <v>21</v>
      </c>
      <c r="F21" s="10" t="n">
        <f aca="false">SUM(F13:F20)</f>
        <v>30</v>
      </c>
    </row>
    <row r="24" customFormat="false" ht="15" hidden="false" customHeight="false" outlineLevel="0" collapsed="false">
      <c r="B24" s="5" t="s">
        <v>25</v>
      </c>
      <c r="C24" s="6" t="s">
        <v>9</v>
      </c>
      <c r="E24" s="5" t="s">
        <v>26</v>
      </c>
      <c r="F24" s="6" t="s">
        <v>9</v>
      </c>
    </row>
    <row r="25" customFormat="false" ht="15" hidden="false" customHeight="false" outlineLevel="0" collapsed="false">
      <c r="B25" s="7" t="s">
        <v>27</v>
      </c>
      <c r="C25" s="8" t="n">
        <f aca="false">COUNTIF(Captions!$D$5:$D$200,"Reel")</f>
        <v>11</v>
      </c>
      <c r="E25" s="7" t="s">
        <v>28</v>
      </c>
      <c r="F25" s="8" t="n">
        <f aca="false">COUNTIF(Captions!$L$5:$L$200,"Ready")</f>
        <v>18</v>
      </c>
    </row>
    <row r="26" customFormat="false" ht="15" hidden="false" customHeight="false" outlineLevel="0" collapsed="false">
      <c r="B26" s="7" t="s">
        <v>29</v>
      </c>
      <c r="C26" s="8" t="n">
        <f aca="false">COUNTIF(Captions!$D$5:$D$200,"Carousel")</f>
        <v>7</v>
      </c>
      <c r="E26" s="7" t="s">
        <v>30</v>
      </c>
      <c r="F26" s="8" t="n">
        <f aca="false">COUNTIF(Captions!$L$5:$L$200,"Draft")</f>
        <v>9</v>
      </c>
    </row>
    <row r="27" customFormat="false" ht="15" hidden="false" customHeight="false" outlineLevel="0" collapsed="false">
      <c r="B27" s="7" t="s">
        <v>31</v>
      </c>
      <c r="C27" s="8" t="n">
        <f aca="false">COUNTIF(Captions!$D$5:$D$200,"Static")</f>
        <v>10</v>
      </c>
      <c r="E27" s="7" t="s">
        <v>32</v>
      </c>
      <c r="F27" s="8" t="n">
        <f aca="false">COUNTIF(Captions!$L$5:$L$200,"Needs visual")</f>
        <v>3</v>
      </c>
    </row>
    <row r="28" customFormat="false" ht="15" hidden="false" customHeight="false" outlineLevel="0" collapsed="false">
      <c r="B28" s="7" t="s">
        <v>33</v>
      </c>
      <c r="C28" s="8" t="n">
        <f aca="false">COUNTIF(Captions!$D$5:$D$200,"Story")</f>
        <v>2</v>
      </c>
      <c r="E28" s="9" t="s">
        <v>21</v>
      </c>
      <c r="F28" s="10" t="n">
        <f aca="false">SUM(F25:F27)</f>
        <v>30</v>
      </c>
    </row>
    <row r="29" customFormat="false" ht="15" hidden="false" customHeight="false" outlineLevel="0" collapsed="false">
      <c r="B29" s="9" t="s">
        <v>21</v>
      </c>
      <c r="C29" s="10" t="n">
        <f aca="false">SUM(C25:C28)</f>
        <v>30</v>
      </c>
    </row>
    <row r="31" customFormat="false" ht="15" hidden="false" customHeight="false" outlineLevel="0" collapsed="false">
      <c r="B31" s="11" t="s">
        <v>34</v>
      </c>
    </row>
  </sheetData>
  <mergeCells count="4">
    <mergeCell ref="B6:F6"/>
    <mergeCell ref="B7:F7"/>
    <mergeCell ref="B8:F8"/>
    <mergeCell ref="B9: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15"/>
    <col collapsed="false" customWidth="true" hidden="false" outlineLevel="0" max="4" min="4" style="0" width="10"/>
    <col collapsed="false" customWidth="true" hidden="false" outlineLevel="0" max="5" min="5" style="0" width="26"/>
    <col collapsed="false" customWidth="true" hidden="false" outlineLevel="0" max="6" min="6" style="0" width="30"/>
    <col collapsed="false" customWidth="true" hidden="false" outlineLevel="0" max="7" min="7" style="0" width="46"/>
    <col collapsed="false" customWidth="true" hidden="false" outlineLevel="0" max="8" min="8" style="0" width="30"/>
    <col collapsed="false" customWidth="true" hidden="false" outlineLevel="0" max="9" min="9" style="0" width="28"/>
    <col collapsed="false" customWidth="true" hidden="false" outlineLevel="0" max="10" min="10" style="0" width="54"/>
    <col collapsed="false" customWidth="true" hidden="false" outlineLevel="0" max="11" min="11" style="0" width="11"/>
    <col collapsed="false" customWidth="true" hidden="false" outlineLevel="0" max="12" min="12" style="0" width="13"/>
  </cols>
  <sheetData>
    <row r="1" customFormat="false" ht="19.7" hidden="false" customHeight="false" outlineLevel="0" collapsed="false">
      <c r="A1" s="12" t="s">
        <v>0</v>
      </c>
    </row>
    <row r="2" customFormat="false" ht="15" hidden="false" customHeight="false" outlineLevel="0" collapsed="false">
      <c r="A2" s="11" t="s">
        <v>35</v>
      </c>
    </row>
    <row r="4" customFormat="false" ht="30" hidden="false" customHeight="true" outlineLevel="0" collapsed="false">
      <c r="A4" s="13" t="s">
        <v>36</v>
      </c>
      <c r="B4" s="13" t="s">
        <v>8</v>
      </c>
      <c r="C4" s="13" t="s">
        <v>10</v>
      </c>
      <c r="D4" s="13" t="s">
        <v>25</v>
      </c>
      <c r="E4" s="13" t="s">
        <v>37</v>
      </c>
      <c r="F4" s="13" t="s">
        <v>38</v>
      </c>
      <c r="G4" s="13" t="s">
        <v>39</v>
      </c>
      <c r="H4" s="13" t="s">
        <v>40</v>
      </c>
      <c r="I4" s="13" t="s">
        <v>41</v>
      </c>
      <c r="J4" s="13" t="s">
        <v>42</v>
      </c>
      <c r="K4" s="13" t="s">
        <v>43</v>
      </c>
      <c r="L4" s="13" t="s">
        <v>26</v>
      </c>
    </row>
    <row r="5" customFormat="false" ht="96" hidden="false" customHeight="true" outlineLevel="0" collapsed="false">
      <c r="A5" s="14" t="n">
        <v>1</v>
      </c>
      <c r="B5" s="15" t="s">
        <v>11</v>
      </c>
      <c r="C5" s="15" t="s">
        <v>12</v>
      </c>
      <c r="D5" s="15" t="s">
        <v>27</v>
      </c>
      <c r="E5" s="15" t="s">
        <v>44</v>
      </c>
      <c r="F5" s="16" t="s">
        <v>45</v>
      </c>
      <c r="G5" s="15" t="s">
        <v>46</v>
      </c>
      <c r="H5" s="15" t="s">
        <v>47</v>
      </c>
      <c r="I5" s="15" t="s">
        <v>48</v>
      </c>
      <c r="J5" s="17" t="str">
        <f aca="false">F5&amp;CHAR(10)&amp;CHAR(10)&amp;G5&amp;CHAR(10)&amp;CHAR(10)&amp;H5&amp;CHAR(10)&amp;CHAR(10)&amp;I5</f>
        <v>The city gets quieter. We don't close.
Soft lights, slow pours and a corner that's yours until 1am.
Save this for the next night you need somewhere to go.
#NOIRafterdark #latenightcoffee #coffeebar</v>
      </c>
      <c r="K5" s="18" t="n">
        <f aca="false">LEN(J5)</f>
        <v>200</v>
      </c>
      <c r="L5" s="15" t="s">
        <v>28</v>
      </c>
    </row>
    <row r="6" customFormat="false" ht="96" hidden="false" customHeight="true" outlineLevel="0" collapsed="false">
      <c r="A6" s="14" t="n">
        <v>2</v>
      </c>
      <c r="B6" s="15" t="s">
        <v>11</v>
      </c>
      <c r="C6" s="15" t="s">
        <v>16</v>
      </c>
      <c r="D6" s="15" t="s">
        <v>31</v>
      </c>
      <c r="E6" s="15" t="s">
        <v>49</v>
      </c>
      <c r="F6" s="16" t="s">
        <v>50</v>
      </c>
      <c r="G6" s="15" t="s">
        <v>51</v>
      </c>
      <c r="H6" s="15" t="s">
        <v>52</v>
      </c>
      <c r="I6" s="15" t="s">
        <v>53</v>
      </c>
      <c r="J6" s="17" t="str">
        <f aca="false">F6&amp;CHAR(10)&amp;CHAR(10)&amp;G6&amp;CHAR(10)&amp;CHAR(10)&amp;H6&amp;CHAR(10)&amp;CHAR(10)&amp;I6</f>
        <v>Rain on the glass, espresso in hand.
Some evenings plan themselves. This is one of them.
Tell us your rainy-night order.
#NOIRafterdark #rainynights #cafeculture</v>
      </c>
      <c r="K6" s="18" t="n">
        <f aca="false">LEN(J6)</f>
        <v>164</v>
      </c>
      <c r="L6" s="15" t="s">
        <v>28</v>
      </c>
    </row>
    <row r="7" customFormat="false" ht="96" hidden="false" customHeight="true" outlineLevel="0" collapsed="false">
      <c r="A7" s="14" t="n">
        <v>3</v>
      </c>
      <c r="B7" s="15" t="s">
        <v>11</v>
      </c>
      <c r="C7" s="15" t="s">
        <v>16</v>
      </c>
      <c r="D7" s="15" t="s">
        <v>29</v>
      </c>
      <c r="E7" s="15" t="s">
        <v>54</v>
      </c>
      <c r="F7" s="16" t="s">
        <v>55</v>
      </c>
      <c r="G7" s="15" t="s">
        <v>56</v>
      </c>
      <c r="H7" s="15" t="s">
        <v>57</v>
      </c>
      <c r="I7" s="15" t="s">
        <v>58</v>
      </c>
      <c r="J7" s="17" t="str">
        <f aca="false">F7&amp;CHAR(10)&amp;CHAR(10)&amp;G7&amp;CHAR(10)&amp;CHAR(10)&amp;H7&amp;CHAR(10)&amp;CHAR(10)&amp;I7</f>
        <v>7pm to 1am, in five frames.
Swipe to watch NOIR change as the night does. The light drops, the music softens, the conversations get better.
Which hour is yours? Tell us below.
#NOIRafterdark #coffeebar #nightowls</v>
      </c>
      <c r="K7" s="18" t="n">
        <f aca="false">LEN(J7)</f>
        <v>215</v>
      </c>
      <c r="L7" s="15" t="s">
        <v>28</v>
      </c>
    </row>
    <row r="8" customFormat="false" ht="96" hidden="false" customHeight="true" outlineLevel="0" collapsed="false">
      <c r="A8" s="14" t="n">
        <v>4</v>
      </c>
      <c r="B8" s="15" t="s">
        <v>11</v>
      </c>
      <c r="C8" s="15" t="s">
        <v>14</v>
      </c>
      <c r="D8" s="15" t="s">
        <v>27</v>
      </c>
      <c r="E8" s="15" t="s">
        <v>59</v>
      </c>
      <c r="F8" s="16" t="s">
        <v>60</v>
      </c>
      <c r="G8" s="15" t="s">
        <v>61</v>
      </c>
      <c r="H8" s="15" t="s">
        <v>62</v>
      </c>
      <c r="I8" s="15" t="s">
        <v>63</v>
      </c>
      <c r="J8" s="17" t="str">
        <f aca="false">F8&amp;CHAR(10)&amp;CHAR(10)&amp;G8&amp;CHAR(10)&amp;CHAR(10)&amp;H8&amp;CHAR(10)&amp;CHAR(10)&amp;I8</f>
        <v>Nothing here is rushed. Especially this.
Four slow minutes for one cup, and it tastes like it.
Send this to the friend who needs to slow down.
#slowcoffee #pourover #NOIRafterdark</v>
      </c>
      <c r="K8" s="18" t="n">
        <f aca="false">LEN(J8)</f>
        <v>182</v>
      </c>
      <c r="L8" s="15" t="s">
        <v>28</v>
      </c>
    </row>
    <row r="9" customFormat="false" ht="96" hidden="false" customHeight="true" outlineLevel="0" collapsed="false">
      <c r="A9" s="14" t="n">
        <v>5</v>
      </c>
      <c r="B9" s="15" t="s">
        <v>11</v>
      </c>
      <c r="C9" s="15" t="s">
        <v>20</v>
      </c>
      <c r="D9" s="15" t="s">
        <v>31</v>
      </c>
      <c r="E9" s="15" t="s">
        <v>64</v>
      </c>
      <c r="F9" s="16" t="s">
        <v>65</v>
      </c>
      <c r="G9" s="15" t="s">
        <v>66</v>
      </c>
      <c r="H9" s="15" t="s">
        <v>67</v>
      </c>
      <c r="I9" s="15" t="s">
        <v>68</v>
      </c>
      <c r="J9" s="17" t="str">
        <f aca="false">F9&amp;CHAR(10)&amp;CHAR(10)&amp;G9&amp;CHAR(10)&amp;CHAR(10)&amp;H9&amp;CHAR(10)&amp;CHAR(10)&amp;I9</f>
        <v>For the ones whose day starts late.
Open till 1am, every night. Come as you are, stay as long as you like.
See you after dark.
#NOIRafterdark #latenightcoffee #nightowls</v>
      </c>
      <c r="K9" s="18" t="n">
        <f aca="false">LEN(J9)</f>
        <v>172</v>
      </c>
      <c r="L9" s="15" t="s">
        <v>28</v>
      </c>
    </row>
    <row r="10" customFormat="false" ht="96" hidden="false" customHeight="true" outlineLevel="0" collapsed="false">
      <c r="A10" s="14" t="n">
        <v>6</v>
      </c>
      <c r="B10" s="15" t="s">
        <v>11</v>
      </c>
      <c r="C10" s="15" t="s">
        <v>20</v>
      </c>
      <c r="D10" s="15" t="s">
        <v>31</v>
      </c>
      <c r="E10" s="15" t="s">
        <v>69</v>
      </c>
      <c r="F10" s="16" t="s">
        <v>70</v>
      </c>
      <c r="G10" s="15" t="s">
        <v>71</v>
      </c>
      <c r="H10" s="15" t="s">
        <v>72</v>
      </c>
      <c r="I10" s="15" t="s">
        <v>73</v>
      </c>
      <c r="J10" s="17" t="str">
        <f aca="false">F10&amp;CHAR(10)&amp;CHAR(10)&amp;G10&amp;CHAR(10)&amp;CHAR(10)&amp;H10&amp;CHAR(10)&amp;CHAR(10)&amp;I10</f>
        <v>A quiet corner, saved for someone.
Could be you. Could be tonight.
Reserve a corner through the link in bio.
#NOIRafterdark #thirdplace #coffeebar</v>
      </c>
      <c r="K10" s="18" t="n">
        <f aca="false">LEN(J10)</f>
        <v>149</v>
      </c>
      <c r="L10" s="15" t="s">
        <v>28</v>
      </c>
    </row>
    <row r="11" customFormat="false" ht="96" hidden="false" customHeight="true" outlineLevel="0" collapsed="false">
      <c r="A11" s="14" t="n">
        <v>7</v>
      </c>
      <c r="B11" s="15" t="s">
        <v>13</v>
      </c>
      <c r="C11" s="15" t="s">
        <v>12</v>
      </c>
      <c r="D11" s="15" t="s">
        <v>29</v>
      </c>
      <c r="E11" s="15" t="s">
        <v>74</v>
      </c>
      <c r="F11" s="16" t="s">
        <v>75</v>
      </c>
      <c r="G11" s="15" t="s">
        <v>76</v>
      </c>
      <c r="H11" s="15" t="s">
        <v>77</v>
      </c>
      <c r="I11" s="15" t="s">
        <v>78</v>
      </c>
      <c r="J11" s="17" t="str">
        <f aca="false">F11&amp;CHAR(10)&amp;CHAR(10)&amp;G11&amp;CHAR(10)&amp;CHAR(10)&amp;H11&amp;CHAR(10)&amp;CHAR(10)&amp;I11</f>
        <v>First time at NOIR? Here's how to do it right.
1. Order something slow.
2. Pick a corner.
3. Put your phone down for ten minutes.
4. Stay longer than you planned.
Save this for your first visit.
#NOIRafterdark #cafeculture #coffeebar</v>
      </c>
      <c r="K11" s="18" t="n">
        <f aca="false">LEN(J11)</f>
        <v>236</v>
      </c>
      <c r="L11" s="15" t="s">
        <v>28</v>
      </c>
    </row>
    <row r="12" customFormat="false" ht="96" hidden="false" customHeight="true" outlineLevel="0" collapsed="false">
      <c r="A12" s="14" t="n">
        <v>8</v>
      </c>
      <c r="B12" s="15" t="s">
        <v>13</v>
      </c>
      <c r="C12" s="15" t="s">
        <v>18</v>
      </c>
      <c r="D12" s="15" t="s">
        <v>27</v>
      </c>
      <c r="E12" s="15" t="s">
        <v>79</v>
      </c>
      <c r="F12" s="16" t="s">
        <v>80</v>
      </c>
      <c r="G12" s="15" t="s">
        <v>81</v>
      </c>
      <c r="H12" s="15" t="s">
        <v>82</v>
      </c>
      <c r="I12" s="15" t="s">
        <v>83</v>
      </c>
      <c r="J12" s="17" t="str">
        <f aca="false">F12&amp;CHAR(10)&amp;CHAR(10)&amp;G12&amp;CHAR(10)&amp;CHAR(10)&amp;H12&amp;CHAR(10)&amp;CHAR(10)&amp;I12</f>
        <v>They know your order before you sit down.
That's the goal with every person who walks in. Takes a few visits. Worth it.
Tag your café person.
#peopleofNOIR #cafeculture #baristalife</v>
      </c>
      <c r="K12" s="18" t="n">
        <f aca="false">LEN(J12)</f>
        <v>184</v>
      </c>
      <c r="L12" s="15" t="s">
        <v>28</v>
      </c>
    </row>
    <row r="13" customFormat="false" ht="96" hidden="false" customHeight="true" outlineLevel="0" collapsed="false">
      <c r="A13" s="14" t="n">
        <v>9</v>
      </c>
      <c r="B13" s="15" t="s">
        <v>13</v>
      </c>
      <c r="C13" s="15" t="s">
        <v>14</v>
      </c>
      <c r="D13" s="15" t="s">
        <v>31</v>
      </c>
      <c r="E13" s="15" t="s">
        <v>84</v>
      </c>
      <c r="F13" s="16" t="s">
        <v>85</v>
      </c>
      <c r="G13" s="15" t="s">
        <v>86</v>
      </c>
      <c r="H13" s="15" t="s">
        <v>87</v>
      </c>
      <c r="I13" s="15" t="s">
        <v>88</v>
      </c>
      <c r="J13" s="17" t="str">
        <f aca="false">F13&amp;CHAR(10)&amp;CHAR(10)&amp;G13&amp;CHAR(10)&amp;CHAR(10)&amp;H13&amp;CHAR(10)&amp;CHAR(10)&amp;I13</f>
        <v>Bring someone you actually want to talk to.
Low music, no rush, and a table that fits exactly two.
Send this to them. They'll get the hint.
#NOIRafterdark #coffeedate #thirdplace</v>
      </c>
      <c r="K13" s="18" t="n">
        <f aca="false">LEN(J13)</f>
        <v>181</v>
      </c>
      <c r="L13" s="15" t="s">
        <v>28</v>
      </c>
    </row>
    <row r="14" customFormat="false" ht="96" hidden="false" customHeight="true" outlineLevel="0" collapsed="false">
      <c r="A14" s="14" t="n">
        <v>10</v>
      </c>
      <c r="B14" s="15" t="s">
        <v>13</v>
      </c>
      <c r="C14" s="15" t="s">
        <v>20</v>
      </c>
      <c r="D14" s="15" t="s">
        <v>27</v>
      </c>
      <c r="E14" s="15" t="s">
        <v>89</v>
      </c>
      <c r="F14" s="16" t="s">
        <v>90</v>
      </c>
      <c r="G14" s="15" t="s">
        <v>91</v>
      </c>
      <c r="H14" s="15" t="s">
        <v>92</v>
      </c>
      <c r="I14" s="15" t="s">
        <v>93</v>
      </c>
      <c r="J14" s="17" t="str">
        <f aca="false">F14&amp;CHAR(10)&amp;CHAR(10)&amp;G14&amp;CHAR(10)&amp;CHAR(10)&amp;H14&amp;CHAR(10)&amp;CHAR(10)&amp;I14</f>
        <v>Laptop open at 9pm? No one here will judge.
The Wi-Fi's on, the lights are low and the refills keep coming.
Come work late with us.
#workfromcafe #nightowls #NOIRafterdark</v>
      </c>
      <c r="K14" s="18" t="n">
        <f aca="false">LEN(J14)</f>
        <v>174</v>
      </c>
      <c r="L14" s="15" t="s">
        <v>28</v>
      </c>
    </row>
    <row r="15" customFormat="false" ht="96" hidden="false" customHeight="true" outlineLevel="0" collapsed="false">
      <c r="A15" s="14" t="n">
        <v>11</v>
      </c>
      <c r="B15" s="15" t="s">
        <v>13</v>
      </c>
      <c r="C15" s="15" t="s">
        <v>23</v>
      </c>
      <c r="D15" s="15" t="s">
        <v>31</v>
      </c>
      <c r="E15" s="15" t="s">
        <v>94</v>
      </c>
      <c r="F15" s="16" t="s">
        <v>95</v>
      </c>
      <c r="G15" s="15" t="s">
        <v>96</v>
      </c>
      <c r="H15" s="15" t="s">
        <v>97</v>
      </c>
      <c r="I15" s="15" t="s">
        <v>48</v>
      </c>
      <c r="J15" s="17" t="str">
        <f aca="false">F15&amp;CHAR(10)&amp;CHAR(10)&amp;G15&amp;CHAR(10)&amp;CHAR(10)&amp;H15&amp;CHAR(10)&amp;CHAR(10)&amp;I15</f>
        <v>Last order at 12:30. No one leaves in a hurry.
We'd rather you finish the conversation than finish on time.
Follow for what's on this week.
#NOIRafterdark #latenightcoffee #coffeebar</v>
      </c>
      <c r="K15" s="18" t="n">
        <f aca="false">LEN(J15)</f>
        <v>185</v>
      </c>
      <c r="L15" s="15" t="s">
        <v>28</v>
      </c>
    </row>
    <row r="16" customFormat="false" ht="96" hidden="false" customHeight="true" outlineLevel="0" collapsed="false">
      <c r="A16" s="14" t="n">
        <v>12</v>
      </c>
      <c r="B16" s="15" t="s">
        <v>13</v>
      </c>
      <c r="C16" s="15" t="s">
        <v>12</v>
      </c>
      <c r="D16" s="15" t="s">
        <v>29</v>
      </c>
      <c r="E16" s="15" t="s">
        <v>98</v>
      </c>
      <c r="F16" s="16" t="s">
        <v>99</v>
      </c>
      <c r="G16" s="15" t="s">
        <v>100</v>
      </c>
      <c r="H16" s="15" t="s">
        <v>101</v>
      </c>
      <c r="I16" s="15" t="s">
        <v>102</v>
      </c>
      <c r="J16" s="17" t="str">
        <f aca="false">F16&amp;CHAR(10)&amp;CHAR(10)&amp;G16&amp;CHAR(10)&amp;CHAR(10)&amp;H16&amp;CHAR(10)&amp;CHAR(10)&amp;I16</f>
        <v>This week's menu drop is here.
Three new drinks, one returning favourite. Swipe for all four.
Save this so you remember what to order.
#menudrop #NOIRafterdark #coffeebar</v>
      </c>
      <c r="K16" s="18" t="n">
        <f aca="false">LEN(J16)</f>
        <v>173</v>
      </c>
      <c r="L16" s="15" t="s">
        <v>32</v>
      </c>
    </row>
    <row r="17" customFormat="false" ht="96" hidden="false" customHeight="true" outlineLevel="0" collapsed="false">
      <c r="A17" s="14" t="n">
        <v>13</v>
      </c>
      <c r="B17" s="15" t="s">
        <v>15</v>
      </c>
      <c r="C17" s="15" t="s">
        <v>16</v>
      </c>
      <c r="D17" s="15" t="s">
        <v>27</v>
      </c>
      <c r="E17" s="15" t="s">
        <v>103</v>
      </c>
      <c r="F17" s="16" t="s">
        <v>104</v>
      </c>
      <c r="G17" s="15" t="s">
        <v>105</v>
      </c>
      <c r="H17" s="15" t="s">
        <v>106</v>
      </c>
      <c r="I17" s="15" t="s">
        <v>107</v>
      </c>
      <c r="J17" s="17" t="str">
        <f aca="false">F17&amp;CHAR(10)&amp;CHAR(10)&amp;G17&amp;CHAR(10)&amp;CHAR(10)&amp;H17&amp;CHAR(10)&amp;CHAR(10)&amp;I17</f>
        <v>Every NOIR regular at 11pm, ranked.
The one on their third cortado. The one 'just finishing an email'. The one who came for ten minutes two hours ago.
Which one are you? Be honest.
#peopleofNOIR #nightowls #cafeculture</v>
      </c>
      <c r="K17" s="18" t="n">
        <f aca="false">LEN(J17)</f>
        <v>221</v>
      </c>
      <c r="L17" s="15" t="s">
        <v>28</v>
      </c>
    </row>
    <row r="18" customFormat="false" ht="96" hidden="false" customHeight="true" outlineLevel="0" collapsed="false">
      <c r="A18" s="14" t="n">
        <v>14</v>
      </c>
      <c r="B18" s="15" t="s">
        <v>15</v>
      </c>
      <c r="C18" s="15" t="s">
        <v>16</v>
      </c>
      <c r="D18" s="15" t="s">
        <v>31</v>
      </c>
      <c r="E18" s="15" t="s">
        <v>108</v>
      </c>
      <c r="F18" s="16" t="s">
        <v>109</v>
      </c>
      <c r="G18" s="15" t="s">
        <v>110</v>
      </c>
      <c r="H18" s="15" t="s">
        <v>111</v>
      </c>
      <c r="I18" s="15" t="s">
        <v>112</v>
      </c>
      <c r="J18" s="17" t="str">
        <f aca="false">F18&amp;CHAR(10)&amp;CHAR(10)&amp;G18&amp;CHAR(10)&amp;CHAR(10)&amp;H18&amp;CHAR(10)&amp;CHAR(10)&amp;I18</f>
        <v>Coffee after 9pm is a personality.
We said what we said.
Agree or disagree?
#latenightcoffee #NOIRafterdark #coffeebar</v>
      </c>
      <c r="K18" s="18" t="n">
        <f aca="false">LEN(J18)</f>
        <v>121</v>
      </c>
      <c r="L18" s="15" t="s">
        <v>28</v>
      </c>
    </row>
    <row r="19" customFormat="false" ht="96" hidden="false" customHeight="true" outlineLevel="0" collapsed="false">
      <c r="A19" s="14" t="n">
        <v>15</v>
      </c>
      <c r="B19" s="15" t="s">
        <v>15</v>
      </c>
      <c r="C19" s="15" t="s">
        <v>14</v>
      </c>
      <c r="D19" s="15" t="s">
        <v>27</v>
      </c>
      <c r="E19" s="15" t="s">
        <v>113</v>
      </c>
      <c r="F19" s="16" t="s">
        <v>114</v>
      </c>
      <c r="G19" s="15" t="s">
        <v>115</v>
      </c>
      <c r="H19" s="15" t="s">
        <v>116</v>
      </c>
      <c r="I19" s="15" t="s">
        <v>117</v>
      </c>
      <c r="J19" s="17" t="str">
        <f aca="false">F19&amp;CHAR(10)&amp;CHAR(10)&amp;G19&amp;CHAR(10)&amp;CHAR(10)&amp;H19&amp;CHAR(10)&amp;CHAR(10)&amp;I19</f>
        <v>POV: you said 'one coffee' three hours ago.
No regrets. Maybe one more.
Send this to the friend who always says 'just one'.
#nightowls #NOIRafterdark #cafeculture</v>
      </c>
      <c r="K19" s="18" t="n">
        <f aca="false">LEN(J19)</f>
        <v>165</v>
      </c>
      <c r="L19" s="15" t="s">
        <v>28</v>
      </c>
    </row>
    <row r="20" customFormat="false" ht="96" hidden="false" customHeight="true" outlineLevel="0" collapsed="false">
      <c r="A20" s="14" t="n">
        <v>16</v>
      </c>
      <c r="B20" s="15" t="s">
        <v>15</v>
      </c>
      <c r="C20" s="15" t="s">
        <v>24</v>
      </c>
      <c r="D20" s="15" t="s">
        <v>33</v>
      </c>
      <c r="E20" s="15" t="s">
        <v>118</v>
      </c>
      <c r="F20" s="16" t="s">
        <v>119</v>
      </c>
      <c r="G20" s="15" t="s">
        <v>120</v>
      </c>
      <c r="H20" s="15" t="s">
        <v>121</v>
      </c>
      <c r="I20" s="15" t="s">
        <v>122</v>
      </c>
      <c r="J20" s="17" t="str">
        <f aca="false">F20&amp;CHAR(10)&amp;CHAR(10)&amp;G20&amp;CHAR(10)&amp;CHAR(10)&amp;H20&amp;CHAR(10)&amp;CHAR(10)&amp;I20</f>
        <v>Espresso or cold brew at midnight?
Settle it for us. The loudest side gets a special next week.
Vote in the poll.
#NOIRafterdark</v>
      </c>
      <c r="K20" s="18" t="n">
        <f aca="false">LEN(J20)</f>
        <v>131</v>
      </c>
      <c r="L20" s="15" t="s">
        <v>30</v>
      </c>
    </row>
    <row r="21" customFormat="false" ht="96" hidden="false" customHeight="true" outlineLevel="0" collapsed="false">
      <c r="A21" s="14" t="n">
        <v>17</v>
      </c>
      <c r="B21" s="15" t="s">
        <v>15</v>
      </c>
      <c r="C21" s="15" t="s">
        <v>16</v>
      </c>
      <c r="D21" s="15" t="s">
        <v>31</v>
      </c>
      <c r="E21" s="15" t="s">
        <v>108</v>
      </c>
      <c r="F21" s="16" t="s">
        <v>123</v>
      </c>
      <c r="G21" s="15" t="s">
        <v>124</v>
      </c>
      <c r="H21" s="15" t="s">
        <v>125</v>
      </c>
      <c r="I21" s="15" t="s">
        <v>112</v>
      </c>
      <c r="J21" s="17" t="str">
        <f aca="false">F21&amp;CHAR(10)&amp;CHAR(10)&amp;G21&amp;CHAR(10)&amp;CHAR(10)&amp;H21&amp;CHAR(10)&amp;CHAR(10)&amp;I21</f>
        <v>Sleep is great. Have you tried a cortado?
Kidding. We do a very good decaf too.
Your go-to late-night order?
#latenightcoffee #NOIRafterdark #coffeebar</v>
      </c>
      <c r="K21" s="18" t="n">
        <f aca="false">LEN(J21)</f>
        <v>154</v>
      </c>
      <c r="L21" s="15" t="s">
        <v>30</v>
      </c>
    </row>
    <row r="22" customFormat="false" ht="96" hidden="false" customHeight="true" outlineLevel="0" collapsed="false">
      <c r="A22" s="14" t="n">
        <v>18</v>
      </c>
      <c r="B22" s="15" t="s">
        <v>15</v>
      </c>
      <c r="C22" s="15" t="s">
        <v>12</v>
      </c>
      <c r="D22" s="15" t="s">
        <v>29</v>
      </c>
      <c r="E22" s="15" t="s">
        <v>126</v>
      </c>
      <c r="F22" s="16" t="s">
        <v>127</v>
      </c>
      <c r="G22" s="15" t="s">
        <v>128</v>
      </c>
      <c r="H22" s="15" t="s">
        <v>129</v>
      </c>
      <c r="I22" s="15" t="s">
        <v>130</v>
      </c>
      <c r="J22" s="17" t="str">
        <f aca="false">F22&amp;CHAR(10)&amp;CHAR(10)&amp;G22&amp;CHAR(10)&amp;CHAR(10)&amp;H22&amp;CHAR(10)&amp;CHAR(10)&amp;I22</f>
        <v>Tired, dramatic or pretending to be productive?
There's a drink for each. Swipe to find yours.
Save this for tonight's order.
#NOIRafterdark #coffeebar #menudrop</v>
      </c>
      <c r="K22" s="18" t="n">
        <f aca="false">LEN(J22)</f>
        <v>164</v>
      </c>
      <c r="L22" s="15" t="s">
        <v>30</v>
      </c>
    </row>
    <row r="23" customFormat="false" ht="96" hidden="false" customHeight="true" outlineLevel="0" collapsed="false">
      <c r="A23" s="14" t="n">
        <v>19</v>
      </c>
      <c r="B23" s="15" t="s">
        <v>17</v>
      </c>
      <c r="C23" s="15" t="s">
        <v>12</v>
      </c>
      <c r="D23" s="15" t="s">
        <v>27</v>
      </c>
      <c r="E23" s="15" t="s">
        <v>131</v>
      </c>
      <c r="F23" s="16" t="s">
        <v>132</v>
      </c>
      <c r="G23" s="15" t="s">
        <v>133</v>
      </c>
      <c r="H23" s="15" t="s">
        <v>134</v>
      </c>
      <c r="I23" s="15" t="s">
        <v>135</v>
      </c>
      <c r="J23" s="17" t="str">
        <f aca="false">F23&amp;CHAR(10)&amp;CHAR(10)&amp;G23&amp;CHAR(10)&amp;CHAR(10)&amp;H23&amp;CHAR(10)&amp;CHAR(10)&amp;I23</f>
        <v>Four minutes for one cup. Here's why.
The bloom lets the coffee release gas so the water can pull out the flavour evenly. Rush it and the cup tastes flat.
Save this for your next home brew.
#pourover #slowcoffee #baristalife</v>
      </c>
      <c r="K23" s="18" t="n">
        <f aca="false">LEN(J23)</f>
        <v>227</v>
      </c>
      <c r="L23" s="15" t="s">
        <v>28</v>
      </c>
    </row>
    <row r="24" customFormat="false" ht="96" hidden="false" customHeight="true" outlineLevel="0" collapsed="false">
      <c r="A24" s="14" t="n">
        <v>20</v>
      </c>
      <c r="B24" s="15" t="s">
        <v>17</v>
      </c>
      <c r="C24" s="15" t="s">
        <v>16</v>
      </c>
      <c r="D24" s="15" t="s">
        <v>29</v>
      </c>
      <c r="E24" s="15" t="s">
        <v>136</v>
      </c>
      <c r="F24" s="16" t="s">
        <v>137</v>
      </c>
      <c r="G24" s="15" t="s">
        <v>138</v>
      </c>
      <c r="H24" s="15" t="s">
        <v>139</v>
      </c>
      <c r="I24" s="15" t="s">
        <v>140</v>
      </c>
      <c r="J24" s="17" t="str">
        <f aca="false">F24&amp;CHAR(10)&amp;CHAR(10)&amp;G24&amp;CHAR(10)&amp;CHAR(10)&amp;H24&amp;CHAR(10)&amp;CHAR(10)&amp;I24</f>
        <v>Meet this month's beans.
A medium roast with notes of cocoa and orange. Swipe for how we brew it and what to pair it with.
Ask us about them at the bar, or drop a question here.
#specialtycoffee #slowcoffee #NOIRafterdark</v>
      </c>
      <c r="K24" s="18" t="n">
        <f aca="false">LEN(J24)</f>
        <v>224</v>
      </c>
      <c r="L24" s="15" t="s">
        <v>32</v>
      </c>
    </row>
    <row r="25" customFormat="false" ht="96" hidden="false" customHeight="true" outlineLevel="0" collapsed="false">
      <c r="A25" s="14" t="n">
        <v>21</v>
      </c>
      <c r="B25" s="15" t="s">
        <v>17</v>
      </c>
      <c r="C25" s="15" t="s">
        <v>14</v>
      </c>
      <c r="D25" s="15" t="s">
        <v>27</v>
      </c>
      <c r="E25" s="15" t="s">
        <v>141</v>
      </c>
      <c r="F25" s="16" t="s">
        <v>142</v>
      </c>
      <c r="G25" s="15" t="s">
        <v>143</v>
      </c>
      <c r="H25" s="15" t="s">
        <v>144</v>
      </c>
      <c r="I25" s="15" t="s">
        <v>145</v>
      </c>
      <c r="J25" s="17" t="str">
        <f aca="false">F25&amp;CHAR(10)&amp;CHAR(10)&amp;G25&amp;CHAR(10)&amp;CHAR(10)&amp;H25&amp;CHAR(10)&amp;CHAR(10)&amp;I25</f>
        <v>Attempt 1 vs attempt 14.
Practice looks like this. A lot of milk, a lot of patience.
Send this to someone learning something new.
#latteart #baristalife #behindthebar</v>
      </c>
      <c r="K25" s="18" t="n">
        <f aca="false">LEN(J25)</f>
        <v>169</v>
      </c>
      <c r="L25" s="15" t="s">
        <v>28</v>
      </c>
    </row>
    <row r="26" customFormat="false" ht="96" hidden="false" customHeight="true" outlineLevel="0" collapsed="false">
      <c r="A26" s="14" t="n">
        <v>22</v>
      </c>
      <c r="B26" s="15" t="s">
        <v>17</v>
      </c>
      <c r="C26" s="15" t="s">
        <v>23</v>
      </c>
      <c r="D26" s="15" t="s">
        <v>31</v>
      </c>
      <c r="E26" s="15" t="s">
        <v>146</v>
      </c>
      <c r="F26" s="16" t="s">
        <v>147</v>
      </c>
      <c r="G26" s="15" t="s">
        <v>148</v>
      </c>
      <c r="H26" s="15" t="s">
        <v>149</v>
      </c>
      <c r="I26" s="15" t="s">
        <v>150</v>
      </c>
      <c r="J26" s="17" t="str">
        <f aca="false">F26&amp;CHAR(10)&amp;CHAR(10)&amp;G26&amp;CHAR(10)&amp;CHAR(10)&amp;H26&amp;CHAR(10)&amp;CHAR(10)&amp;I26</f>
        <v>Steamed, not scalded. There's a difference.
Silky milk sits around 60°C. Any hotter and the sweetness disappears.
Follow for more from behind the bar.
#behindthebar #baristalife #coffeebar</v>
      </c>
      <c r="K26" s="18" t="n">
        <f aca="false">LEN(J26)</f>
        <v>191</v>
      </c>
      <c r="L26" s="15" t="s">
        <v>28</v>
      </c>
    </row>
    <row r="27" customFormat="false" ht="96" hidden="false" customHeight="true" outlineLevel="0" collapsed="false">
      <c r="A27" s="14" t="n">
        <v>23</v>
      </c>
      <c r="B27" s="15" t="s">
        <v>17</v>
      </c>
      <c r="C27" s="15" t="s">
        <v>12</v>
      </c>
      <c r="D27" s="15" t="s">
        <v>29</v>
      </c>
      <c r="E27" s="15" t="s">
        <v>151</v>
      </c>
      <c r="F27" s="16" t="s">
        <v>152</v>
      </c>
      <c r="G27" s="15" t="s">
        <v>153</v>
      </c>
      <c r="H27" s="15" t="s">
        <v>154</v>
      </c>
      <c r="I27" s="15" t="s">
        <v>155</v>
      </c>
      <c r="J27" s="17" t="str">
        <f aca="false">F27&amp;CHAR(10)&amp;CHAR(10)&amp;G27&amp;CHAR(10)&amp;CHAR(10)&amp;H27&amp;CHAR(10)&amp;CHAR(10)&amp;I27</f>
        <v>Decaf after 10pm, done properly.
Same care, same brew time, none of the 3am ceiling staring. Swipe for our decaf menu.
Save this for late nights.
#decaf #slowcoffee #NOIRafterdark</v>
      </c>
      <c r="K27" s="18" t="n">
        <f aca="false">LEN(J27)</f>
        <v>182</v>
      </c>
      <c r="L27" s="15" t="s">
        <v>30</v>
      </c>
    </row>
    <row r="28" customFormat="false" ht="96" hidden="false" customHeight="true" outlineLevel="0" collapsed="false">
      <c r="A28" s="14" t="n">
        <v>24</v>
      </c>
      <c r="B28" s="15" t="s">
        <v>17</v>
      </c>
      <c r="C28" s="15" t="s">
        <v>23</v>
      </c>
      <c r="D28" s="15" t="s">
        <v>27</v>
      </c>
      <c r="E28" s="15" t="s">
        <v>156</v>
      </c>
      <c r="F28" s="16" t="s">
        <v>157</v>
      </c>
      <c r="G28" s="15" t="s">
        <v>158</v>
      </c>
      <c r="H28" s="15" t="s">
        <v>159</v>
      </c>
      <c r="I28" s="15" t="s">
        <v>160</v>
      </c>
      <c r="J28" s="17" t="str">
        <f aca="false">F28&amp;CHAR(10)&amp;CHAR(10)&amp;G28&amp;CHAR(10)&amp;CHAR(10)&amp;H28&amp;CHAR(10)&amp;CHAR(10)&amp;I28</f>
        <v>What happens after the last cup.
Machines cleaned, grinders reset, chairs up. Tomorrow's first pour starts tonight.
Follow to see the rest of the night.
#behindthebar #baristalife #NOIRafterdark</v>
      </c>
      <c r="K28" s="18" t="n">
        <f aca="false">LEN(J28)</f>
        <v>197</v>
      </c>
      <c r="L28" s="15" t="s">
        <v>30</v>
      </c>
    </row>
    <row r="29" customFormat="false" ht="96" hidden="false" customHeight="true" outlineLevel="0" collapsed="false">
      <c r="A29" s="14" t="n">
        <v>25</v>
      </c>
      <c r="B29" s="15" t="s">
        <v>19</v>
      </c>
      <c r="C29" s="15" t="s">
        <v>22</v>
      </c>
      <c r="D29" s="15" t="s">
        <v>31</v>
      </c>
      <c r="E29" s="15" t="s">
        <v>161</v>
      </c>
      <c r="F29" s="16" t="s">
        <v>162</v>
      </c>
      <c r="G29" s="15" t="s">
        <v>163</v>
      </c>
      <c r="H29" s="15" t="s">
        <v>164</v>
      </c>
      <c r="I29" s="15" t="s">
        <v>165</v>
      </c>
      <c r="J29" s="17" t="str">
        <f aca="false">F29&amp;CHAR(10)&amp;CHAR(10)&amp;G29&amp;CHAR(10)&amp;CHAR(10)&amp;H29&amp;CHAR(10)&amp;CHAR(10)&amp;I29</f>
        <v>Friday listening sessions are back.
One album, played start to finish. Low lights, good coffee, no talking over the good parts.
Seats are limited. DM us to save one.
#listeningsession #NOIRafterdark #vinylnight</v>
      </c>
      <c r="K29" s="18" t="n">
        <f aca="false">LEN(J29)</f>
        <v>213</v>
      </c>
      <c r="L29" s="15" t="s">
        <v>28</v>
      </c>
    </row>
    <row r="30" customFormat="false" ht="96" hidden="false" customHeight="true" outlineLevel="0" collapsed="false">
      <c r="A30" s="14" t="n">
        <v>26</v>
      </c>
      <c r="B30" s="15" t="s">
        <v>19</v>
      </c>
      <c r="C30" s="15" t="s">
        <v>18</v>
      </c>
      <c r="D30" s="15" t="s">
        <v>29</v>
      </c>
      <c r="E30" s="15" t="s">
        <v>166</v>
      </c>
      <c r="F30" s="16" t="s">
        <v>167</v>
      </c>
      <c r="G30" s="15" t="s">
        <v>168</v>
      </c>
      <c r="H30" s="15" t="s">
        <v>169</v>
      </c>
      <c r="I30" s="15" t="s">
        <v>170</v>
      </c>
      <c r="J30" s="17" t="str">
        <f aca="false">F30&amp;CHAR(10)&amp;CHAR(10)&amp;G30&amp;CHAR(10)&amp;CHAR(10)&amp;H30&amp;CHAR(10)&amp;CHAR(10)&amp;I30</f>
        <v>People of NOIR.
The regulars who turned a coffee bar into a place. Swipe to meet a few of them.
Tag someone you've met here.
#peopleofNOIR #thirdplace #cafeculture</v>
      </c>
      <c r="K30" s="18" t="n">
        <f aca="false">LEN(J30)</f>
        <v>166</v>
      </c>
      <c r="L30" s="15" t="s">
        <v>32</v>
      </c>
    </row>
    <row r="31" customFormat="false" ht="96" hidden="false" customHeight="true" outlineLevel="0" collapsed="false">
      <c r="A31" s="14" t="n">
        <v>27</v>
      </c>
      <c r="B31" s="15" t="s">
        <v>19</v>
      </c>
      <c r="C31" s="15" t="s">
        <v>16</v>
      </c>
      <c r="D31" s="15" t="s">
        <v>27</v>
      </c>
      <c r="E31" s="15" t="s">
        <v>171</v>
      </c>
      <c r="F31" s="16" t="s">
        <v>172</v>
      </c>
      <c r="G31" s="15" t="s">
        <v>173</v>
      </c>
      <c r="H31" s="15" t="s">
        <v>174</v>
      </c>
      <c r="I31" s="15" t="s">
        <v>165</v>
      </c>
      <c r="J31" s="17" t="str">
        <f aca="false">F31&amp;CHAR(10)&amp;CHAR(10)&amp;G31&amp;CHAR(10)&amp;CHAR(10)&amp;H31&amp;CHAR(10)&amp;CHAR(10)&amp;I31</f>
        <v>You pick the album. We press play.
Next Friday's listening session is chosen by you.
Drop the album you'd want us to play.
#listeningsession #NOIRafterdark #vinylnight</v>
      </c>
      <c r="K31" s="18" t="n">
        <f aca="false">LEN(J31)</f>
        <v>170</v>
      </c>
      <c r="L31" s="15" t="s">
        <v>30</v>
      </c>
    </row>
    <row r="32" customFormat="false" ht="96" hidden="false" customHeight="true" outlineLevel="0" collapsed="false">
      <c r="A32" s="14" t="n">
        <v>28</v>
      </c>
      <c r="B32" s="15" t="s">
        <v>19</v>
      </c>
      <c r="C32" s="15" t="s">
        <v>18</v>
      </c>
      <c r="D32" s="15" t="s">
        <v>31</v>
      </c>
      <c r="E32" s="15" t="s">
        <v>175</v>
      </c>
      <c r="F32" s="16" t="s">
        <v>176</v>
      </c>
      <c r="G32" s="15" t="s">
        <v>177</v>
      </c>
      <c r="H32" s="15" t="s">
        <v>178</v>
      </c>
      <c r="I32" s="15" t="s">
        <v>179</v>
      </c>
      <c r="J32" s="17" t="str">
        <f aca="false">F32&amp;CHAR(10)&amp;CHAR(10)&amp;G32&amp;CHAR(10)&amp;CHAR(10)&amp;H32&amp;CHAR(10)&amp;CHAR(10)&amp;I32</f>
        <v>Your corner, your photo.
Shared by one of our regulars, reposted with love.
Tag us in yours for a chance to be featured.
#peopleofNOIR #NOIRafterdark #cafeculture</v>
      </c>
      <c r="K32" s="18" t="n">
        <f aca="false">LEN(J32)</f>
        <v>165</v>
      </c>
      <c r="L32" s="15" t="s">
        <v>30</v>
      </c>
    </row>
    <row r="33" customFormat="false" ht="96" hidden="false" customHeight="true" outlineLevel="0" collapsed="false">
      <c r="A33" s="14" t="n">
        <v>29</v>
      </c>
      <c r="B33" s="15" t="s">
        <v>19</v>
      </c>
      <c r="C33" s="15" t="s">
        <v>22</v>
      </c>
      <c r="D33" s="15" t="s">
        <v>33</v>
      </c>
      <c r="E33" s="15" t="s">
        <v>180</v>
      </c>
      <c r="F33" s="16" t="s">
        <v>181</v>
      </c>
      <c r="G33" s="15" t="s">
        <v>182</v>
      </c>
      <c r="H33" s="15" t="s">
        <v>183</v>
      </c>
      <c r="I33" s="15" t="s">
        <v>122</v>
      </c>
      <c r="J33" s="17" t="str">
        <f aca="false">F33&amp;CHAR(10)&amp;CHAR(10)&amp;G33&amp;CHAR(10)&amp;CHAR(10)&amp;H33&amp;CHAR(10)&amp;CHAR(10)&amp;I33</f>
        <v>What should we add to the menu?
We read every reply. The best idea gets brewed.
Send us your idea.
#NOIRafterdark</v>
      </c>
      <c r="K33" s="18" t="n">
        <f aca="false">LEN(J33)</f>
        <v>116</v>
      </c>
      <c r="L33" s="15" t="s">
        <v>30</v>
      </c>
    </row>
    <row r="34" customFormat="false" ht="96" hidden="false" customHeight="true" outlineLevel="0" collapsed="false">
      <c r="A34" s="14" t="n">
        <v>30</v>
      </c>
      <c r="B34" s="15" t="s">
        <v>19</v>
      </c>
      <c r="C34" s="15" t="s">
        <v>23</v>
      </c>
      <c r="D34" s="15" t="s">
        <v>27</v>
      </c>
      <c r="E34" s="15" t="s">
        <v>184</v>
      </c>
      <c r="F34" s="16" t="s">
        <v>185</v>
      </c>
      <c r="G34" s="15" t="s">
        <v>186</v>
      </c>
      <c r="H34" s="15" t="s">
        <v>187</v>
      </c>
      <c r="I34" s="15" t="s">
        <v>73</v>
      </c>
      <c r="J34" s="17" t="str">
        <f aca="false">F34&amp;CHAR(10)&amp;CHAR(10)&amp;G34&amp;CHAR(10)&amp;CHAR(10)&amp;H34&amp;CHAR(10)&amp;CHAR(10)&amp;I34</f>
        <v>One month of late nights.
Thank you for staying up with us. Here's to the next one.
Follow along for month two.
#NOIRafterdark #thirdplace #coffeebar</v>
      </c>
      <c r="K34" s="18" t="n">
        <f aca="false">LEN(J34)</f>
        <v>152</v>
      </c>
      <c r="L34" s="15" t="s">
        <v>30</v>
      </c>
    </row>
  </sheetData>
  <autoFilter ref="A4:L34"/>
  <conditionalFormatting sqref="B5:B34">
    <cfRule type="expression" priority="2" aboveAverage="0" equalAverage="0" bottom="0" percent="0" rank="0" text="" dxfId="12">
      <formula>$B5="Moody"</formula>
    </cfRule>
    <cfRule type="expression" priority="3" aboveAverage="0" equalAverage="0" bottom="0" percent="0" rank="0" text="" dxfId="13">
      <formula>$B5="Warm"</formula>
    </cfRule>
    <cfRule type="expression" priority="4" aboveAverage="0" equalAverage="0" bottom="0" percent="0" rank="0" text="" dxfId="14">
      <formula>$B5="Playful"</formula>
    </cfRule>
    <cfRule type="expression" priority="5" aboveAverage="0" equalAverage="0" bottom="0" percent="0" rank="0" text="" dxfId="15">
      <formula>$B5="Craft"</formula>
    </cfRule>
    <cfRule type="expression" priority="6" aboveAverage="0" equalAverage="0" bottom="0" percent="0" rank="0" text="" dxfId="16">
      <formula>$B5="Community"</formula>
    </cfRule>
  </conditionalFormatting>
  <conditionalFormatting sqref="L5:L34">
    <cfRule type="expression" priority="7" aboveAverage="0" equalAverage="0" bottom="0" percent="0" rank="0" text="" dxfId="17">
      <formula>$L5="Ready"</formula>
    </cfRule>
    <cfRule type="expression" priority="8" aboveAverage="0" equalAverage="0" bottom="0" percent="0" rank="0" text="" dxfId="18">
      <formula>$L5="Needs visual"</formula>
    </cfRule>
  </conditionalFormatting>
  <conditionalFormatting sqref="K5:K34">
    <cfRule type="expression" priority="9" aboveAverage="0" equalAverage="0" bottom="0" percent="0" rank="0" text="" dxfId="19">
      <formula>$K5&gt;2200</formula>
    </cfRule>
  </conditionalFormatting>
  <dataValidations count="4">
    <dataValidation allowBlank="true" errorStyle="stop" operator="between" showDropDown="false" showErrorMessage="false" showInputMessage="false" sqref="B5:B200" type="list">
      <formula1>"Moody,Warm,Playful,Craft,Community"</formula1>
      <formula2>0</formula2>
    </dataValidation>
    <dataValidation allowBlank="true" errorStyle="stop" operator="between" showDropDown="false" showErrorMessage="false" showInputMessage="false" sqref="C5:C200" type="list">
      <formula1>"Save,Share,Comment,Tag,Visit / Reserve,DM,Follow,Vote"</formula1>
      <formula2>0</formula2>
    </dataValidation>
    <dataValidation allowBlank="true" errorStyle="stop" operator="between" showDropDown="false" showErrorMessage="false" showInputMessage="false" sqref="D5:D200" type="list">
      <formula1>"Reel,Carousel,Static,Story"</formula1>
      <formula2>0</formula2>
    </dataValidation>
    <dataValidation allowBlank="true" errorStyle="stop" operator="between" showDropDown="false" showErrorMessage="false" showInputMessage="false" sqref="L5:L200" type="list">
      <formula1>"Ready,Draft,Needs visual"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40"/>
    <col collapsed="false" customWidth="true" hidden="false" outlineLevel="0" max="4" min="4" style="0" width="62"/>
  </cols>
  <sheetData>
    <row r="1" customFormat="false" ht="19.7" hidden="false" customHeight="false" outlineLevel="0" collapsed="false">
      <c r="A1" s="12" t="s">
        <v>188</v>
      </c>
    </row>
    <row r="2" customFormat="false" ht="15" hidden="false" customHeight="false" outlineLevel="0" collapsed="false">
      <c r="A2" s="11" t="s">
        <v>189</v>
      </c>
    </row>
    <row r="4" customFormat="false" ht="15" hidden="false" customHeight="false" outlineLevel="0" collapsed="false">
      <c r="A4" s="19" t="s">
        <v>10</v>
      </c>
      <c r="B4" s="19" t="s">
        <v>190</v>
      </c>
      <c r="C4" s="19" t="s">
        <v>191</v>
      </c>
      <c r="D4" s="19" t="s">
        <v>192</v>
      </c>
    </row>
    <row r="5" customFormat="false" ht="51.75" hidden="false" customHeight="true" outlineLevel="0" collapsed="false">
      <c r="A5" s="16" t="s">
        <v>12</v>
      </c>
      <c r="B5" s="15" t="s">
        <v>193</v>
      </c>
      <c r="C5" s="15" t="s">
        <v>194</v>
      </c>
      <c r="D5" s="15" t="s">
        <v>195</v>
      </c>
    </row>
    <row r="6" customFormat="false" ht="51.75" hidden="false" customHeight="true" outlineLevel="0" collapsed="false">
      <c r="A6" s="16" t="s">
        <v>14</v>
      </c>
      <c r="B6" s="15" t="s">
        <v>193</v>
      </c>
      <c r="C6" s="15" t="s">
        <v>196</v>
      </c>
      <c r="D6" s="15" t="s">
        <v>197</v>
      </c>
    </row>
    <row r="7" customFormat="false" ht="51.75" hidden="false" customHeight="true" outlineLevel="0" collapsed="false">
      <c r="A7" s="16" t="s">
        <v>16</v>
      </c>
      <c r="B7" s="15" t="s">
        <v>198</v>
      </c>
      <c r="C7" s="15" t="s">
        <v>199</v>
      </c>
      <c r="D7" s="15" t="s">
        <v>200</v>
      </c>
    </row>
    <row r="8" customFormat="false" ht="51.75" hidden="false" customHeight="true" outlineLevel="0" collapsed="false">
      <c r="A8" s="16" t="s">
        <v>18</v>
      </c>
      <c r="B8" s="15" t="s">
        <v>198</v>
      </c>
      <c r="C8" s="15" t="s">
        <v>201</v>
      </c>
      <c r="D8" s="15" t="s">
        <v>202</v>
      </c>
    </row>
    <row r="9" customFormat="false" ht="51.75" hidden="false" customHeight="true" outlineLevel="0" collapsed="false">
      <c r="A9" s="16" t="s">
        <v>20</v>
      </c>
      <c r="B9" s="15" t="s">
        <v>203</v>
      </c>
      <c r="C9" s="15" t="s">
        <v>204</v>
      </c>
      <c r="D9" s="15" t="s">
        <v>205</v>
      </c>
    </row>
    <row r="10" customFormat="false" ht="51.75" hidden="false" customHeight="true" outlineLevel="0" collapsed="false">
      <c r="A10" s="16" t="s">
        <v>22</v>
      </c>
      <c r="B10" s="15" t="s">
        <v>206</v>
      </c>
      <c r="C10" s="15" t="s">
        <v>207</v>
      </c>
      <c r="D10" s="15" t="s">
        <v>208</v>
      </c>
    </row>
    <row r="11" customFormat="false" ht="51.75" hidden="false" customHeight="true" outlineLevel="0" collapsed="false">
      <c r="A11" s="16" t="s">
        <v>23</v>
      </c>
      <c r="B11" s="15" t="s">
        <v>209</v>
      </c>
      <c r="C11" s="15" t="s">
        <v>210</v>
      </c>
      <c r="D11" s="15" t="s">
        <v>211</v>
      </c>
    </row>
    <row r="12" customFormat="false" ht="51.75" hidden="false" customHeight="true" outlineLevel="0" collapsed="false">
      <c r="A12" s="16" t="s">
        <v>24</v>
      </c>
      <c r="B12" s="15" t="s">
        <v>198</v>
      </c>
      <c r="C12" s="15" t="s">
        <v>212</v>
      </c>
      <c r="D12" s="15" t="s">
        <v>213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46"/>
  </cols>
  <sheetData>
    <row r="1" customFormat="false" ht="19.7" hidden="false" customHeight="false" outlineLevel="0" collapsed="false">
      <c r="A1" s="12" t="s">
        <v>214</v>
      </c>
    </row>
    <row r="2" customFormat="false" ht="15" hidden="false" customHeight="false" outlineLevel="0" collapsed="false">
      <c r="A2" s="11" t="s">
        <v>215</v>
      </c>
    </row>
    <row r="4" customFormat="false" ht="15" hidden="false" customHeight="false" outlineLevel="0" collapsed="false">
      <c r="A4" s="19" t="s">
        <v>216</v>
      </c>
      <c r="B4" s="19" t="s">
        <v>217</v>
      </c>
      <c r="C4" s="19" t="s">
        <v>218</v>
      </c>
    </row>
    <row r="5" customFormat="false" ht="31.5" hidden="false" customHeight="true" outlineLevel="0" collapsed="false">
      <c r="A5" s="16" t="s">
        <v>219</v>
      </c>
      <c r="B5" s="15" t="s">
        <v>220</v>
      </c>
      <c r="C5" s="15" t="s">
        <v>50</v>
      </c>
    </row>
    <row r="6" customFormat="false" ht="31.5" hidden="false" customHeight="true" outlineLevel="0" collapsed="false">
      <c r="A6" s="16" t="s">
        <v>221</v>
      </c>
      <c r="B6" s="15" t="s">
        <v>222</v>
      </c>
      <c r="C6" s="15" t="s">
        <v>55</v>
      </c>
    </row>
    <row r="7" customFormat="false" ht="31.5" hidden="false" customHeight="true" outlineLevel="0" collapsed="false">
      <c r="A7" s="16" t="s">
        <v>223</v>
      </c>
      <c r="B7" s="15" t="s">
        <v>224</v>
      </c>
      <c r="C7" s="15" t="s">
        <v>75</v>
      </c>
    </row>
    <row r="8" customFormat="false" ht="31.5" hidden="false" customHeight="true" outlineLevel="0" collapsed="false">
      <c r="A8" s="16" t="s">
        <v>225</v>
      </c>
      <c r="B8" s="15" t="s">
        <v>226</v>
      </c>
      <c r="C8" s="15" t="s">
        <v>114</v>
      </c>
    </row>
    <row r="9" customFormat="false" ht="31.5" hidden="false" customHeight="true" outlineLevel="0" collapsed="false">
      <c r="A9" s="16" t="s">
        <v>227</v>
      </c>
      <c r="B9" s="15" t="s">
        <v>228</v>
      </c>
      <c r="C9" s="15" t="s">
        <v>104</v>
      </c>
    </row>
    <row r="10" customFormat="false" ht="31.5" hidden="false" customHeight="true" outlineLevel="0" collapsed="false">
      <c r="A10" s="16" t="s">
        <v>229</v>
      </c>
      <c r="B10" s="15" t="s">
        <v>230</v>
      </c>
      <c r="C10" s="15" t="s">
        <v>142</v>
      </c>
    </row>
    <row r="11" customFormat="false" ht="31.5" hidden="false" customHeight="true" outlineLevel="0" collapsed="false">
      <c r="A11" s="16" t="s">
        <v>231</v>
      </c>
      <c r="B11" s="15" t="s">
        <v>232</v>
      </c>
      <c r="C11" s="15" t="s">
        <v>109</v>
      </c>
    </row>
    <row r="12" customFormat="false" ht="31.5" hidden="false" customHeight="true" outlineLevel="0" collapsed="false">
      <c r="A12" s="16" t="s">
        <v>233</v>
      </c>
      <c r="B12" s="15" t="s">
        <v>234</v>
      </c>
      <c r="C12" s="15" t="s">
        <v>132</v>
      </c>
    </row>
    <row r="13" customFormat="false" ht="31.5" hidden="false" customHeight="true" outlineLevel="0" collapsed="false">
      <c r="A13" s="16" t="s">
        <v>235</v>
      </c>
      <c r="B13" s="15" t="s">
        <v>236</v>
      </c>
      <c r="C13" s="15"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40"/>
  </cols>
  <sheetData>
    <row r="1" customFormat="false" ht="19.7" hidden="false" customHeight="false" outlineLevel="0" collapsed="false">
      <c r="A1" s="12" t="s">
        <v>237</v>
      </c>
    </row>
    <row r="3" customFormat="false" ht="15" hidden="false" customHeight="false" outlineLevel="0" collapsed="false">
      <c r="A3" s="19" t="s">
        <v>238</v>
      </c>
      <c r="B3" s="19" t="s">
        <v>239</v>
      </c>
      <c r="C3" s="19" t="s">
        <v>240</v>
      </c>
    </row>
    <row r="4" customFormat="false" ht="21.75" hidden="false" customHeight="true" outlineLevel="0" collapsed="false">
      <c r="A4" s="16" t="s">
        <v>241</v>
      </c>
      <c r="B4" s="15" t="s">
        <v>242</v>
      </c>
      <c r="C4" s="15" t="s">
        <v>243</v>
      </c>
    </row>
    <row r="5" customFormat="false" ht="21.75" hidden="false" customHeight="true" outlineLevel="0" collapsed="false">
      <c r="A5" s="16" t="s">
        <v>11</v>
      </c>
      <c r="B5" s="15" t="s">
        <v>244</v>
      </c>
      <c r="C5" s="15" t="s">
        <v>245</v>
      </c>
    </row>
    <row r="6" customFormat="false" ht="21.75" hidden="false" customHeight="true" outlineLevel="0" collapsed="false">
      <c r="A6" s="16" t="s">
        <v>246</v>
      </c>
      <c r="B6" s="15" t="s">
        <v>247</v>
      </c>
      <c r="C6" s="15" t="s">
        <v>248</v>
      </c>
    </row>
    <row r="7" customFormat="false" ht="21.75" hidden="false" customHeight="true" outlineLevel="0" collapsed="false">
      <c r="A7" s="16" t="s">
        <v>13</v>
      </c>
      <c r="B7" s="15" t="s">
        <v>80</v>
      </c>
      <c r="C7" s="15" t="s">
        <v>249</v>
      </c>
    </row>
    <row r="10" customFormat="false" ht="15" hidden="false" customHeight="false" outlineLevel="0" collapsed="false">
      <c r="A10" s="3" t="s">
        <v>250</v>
      </c>
    </row>
    <row r="11" customFormat="false" ht="15" hidden="false" customHeight="false" outlineLevel="0" collapsed="false">
      <c r="A11" s="20" t="s">
        <v>251</v>
      </c>
      <c r="B11" s="20"/>
      <c r="C11" s="20"/>
    </row>
    <row r="12" customFormat="false" ht="15" hidden="false" customHeight="false" outlineLevel="0" collapsed="false">
      <c r="A12" s="20" t="s">
        <v>252</v>
      </c>
      <c r="B12" s="20"/>
      <c r="C12" s="20"/>
    </row>
    <row r="13" customFormat="false" ht="15" hidden="false" customHeight="false" outlineLevel="0" collapsed="false">
      <c r="A13" s="20" t="s">
        <v>253</v>
      </c>
      <c r="B13" s="20"/>
      <c r="C13" s="20"/>
    </row>
    <row r="14" customFormat="false" ht="15" hidden="false" customHeight="false" outlineLevel="0" collapsed="false">
      <c r="A14" s="20" t="s">
        <v>254</v>
      </c>
      <c r="B14" s="20"/>
      <c r="C14" s="20"/>
    </row>
    <row r="15" customFormat="false" ht="15" hidden="false" customHeight="false" outlineLevel="0" collapsed="false">
      <c r="A15" s="20" t="s">
        <v>255</v>
      </c>
      <c r="B15" s="20"/>
      <c r="C15" s="20"/>
    </row>
    <row r="16" customFormat="false" ht="15" hidden="false" customHeight="false" outlineLevel="0" collapsed="false">
      <c r="A16" s="20" t="s">
        <v>256</v>
      </c>
      <c r="B16" s="20"/>
      <c r="C16" s="20"/>
    </row>
    <row r="17" customFormat="false" ht="15" hidden="false" customHeight="false" outlineLevel="0" collapsed="false">
      <c r="A17" s="20" t="s">
        <v>257</v>
      </c>
      <c r="B17" s="20"/>
      <c r="C17" s="20"/>
    </row>
  </sheetData>
  <mergeCells count="7">
    <mergeCell ref="A11:C11"/>
    <mergeCell ref="A12:C12"/>
    <mergeCell ref="A13:C13"/>
    <mergeCell ref="A14:C14"/>
    <mergeCell ref="A15:C15"/>
    <mergeCell ref="A16:C16"/>
    <mergeCell ref="A17:C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2026-09-11T15:40:59Z</dcterms:created>
  <dc:creator>openpyxl</dc:creator>
  <dc:description/>
  <dc:language>en-US</dc:language>
  <cp:lastModifiedBy/>
  <dcterms:modified xsi:type="dcterms:W3CDTF">2026-09-11T15:40:59Z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